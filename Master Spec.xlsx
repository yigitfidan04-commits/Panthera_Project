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8c91fd6f34df5/Belgeler/Panthera_Project/"/>
    </mc:Choice>
  </mc:AlternateContent>
  <xr:revisionPtr revIDLastSave="983" documentId="8_{F25F44DA-ABF4-4632-8A91-3DFB1C4ED1D3}" xr6:coauthVersionLast="47" xr6:coauthVersionMax="47" xr10:uidLastSave="{6DD2141B-CCC4-4115-A22C-DC3BE12BA698}"/>
  <bookViews>
    <workbookView xWindow="-120" yWindow="-120" windowWidth="20730" windowHeight="11040" firstSheet="4" activeTab="5" xr2:uid="{24BCA044-2E56-4335-9678-61F4CFD8A3F7}"/>
  </bookViews>
  <sheets>
    <sheet name="Panthera Core" sheetId="1" r:id="rId1"/>
    <sheet name=" BOM" sheetId="7" r:id="rId2"/>
    <sheet name="Upgrade BOM" sheetId="2" r:id="rId3"/>
    <sheet name="Constraints" sheetId="3" r:id="rId4"/>
    <sheet name="Performance_Model" sheetId="4" r:id="rId5"/>
    <sheet name="Program_Finance" sheetId="5" r:id="rId6"/>
    <sheet name="TestPlan" sheetId="6" r:id="rId7"/>
    <sheet name="Price_Margin" sheetId="8" r:id="rId8"/>
    <sheet name="Weight_Model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8" l="1"/>
  <c r="L3" i="8"/>
  <c r="L4" i="8"/>
  <c r="L5" i="8"/>
  <c r="L6" i="8"/>
  <c r="L7" i="8"/>
  <c r="L8" i="8"/>
  <c r="L9" i="8"/>
  <c r="L10" i="8"/>
  <c r="L11" i="8"/>
  <c r="L2" i="8"/>
  <c r="I3" i="8"/>
  <c r="I4" i="8"/>
  <c r="I5" i="8"/>
  <c r="I6" i="8"/>
  <c r="I7" i="8"/>
  <c r="I8" i="8"/>
  <c r="I9" i="8"/>
  <c r="I10" i="8"/>
  <c r="I11" i="8"/>
  <c r="I12" i="8"/>
  <c r="I2" i="8"/>
  <c r="D3" i="8"/>
  <c r="E3" i="8"/>
  <c r="D12" i="8"/>
  <c r="E12" i="8"/>
  <c r="D4" i="8"/>
  <c r="E4" i="8"/>
  <c r="D5" i="8"/>
  <c r="E5" i="8"/>
  <c r="D6" i="8"/>
  <c r="E6" i="8"/>
  <c r="E11" i="8"/>
  <c r="D11" i="8"/>
  <c r="E10" i="8"/>
  <c r="D10" i="8"/>
  <c r="E9" i="8"/>
  <c r="D9" i="8"/>
  <c r="B10" i="4"/>
  <c r="B14" i="4" s="1"/>
  <c r="B5" i="4"/>
  <c r="B7" i="4"/>
  <c r="B6" i="4"/>
  <c r="B2" i="4"/>
  <c r="B7" i="9"/>
  <c r="B6" i="9"/>
  <c r="E7" i="8"/>
  <c r="E8" i="8"/>
  <c r="E2" i="8"/>
  <c r="D7" i="8"/>
  <c r="D8" i="8"/>
  <c r="D2" i="8"/>
  <c r="H20" i="7"/>
  <c r="G2" i="7"/>
  <c r="H2" i="7"/>
  <c r="H19" i="7" s="1"/>
  <c r="G3" i="7"/>
  <c r="H3" i="7"/>
  <c r="G4" i="7"/>
  <c r="H4" i="7"/>
  <c r="G5" i="7"/>
  <c r="H5" i="7"/>
  <c r="G6" i="7"/>
  <c r="H6" i="7"/>
  <c r="G7" i="7"/>
  <c r="H7" i="7"/>
  <c r="G8" i="7"/>
  <c r="H8" i="7"/>
  <c r="G9" i="7"/>
  <c r="H9" i="7"/>
  <c r="G10" i="7"/>
  <c r="H10" i="7"/>
  <c r="G11" i="7"/>
  <c r="H11" i="7"/>
  <c r="G12" i="7"/>
  <c r="H12" i="7"/>
  <c r="G13" i="7"/>
  <c r="H13" i="7"/>
  <c r="G14" i="7"/>
  <c r="H14" i="7"/>
  <c r="G15" i="7"/>
  <c r="H15" i="7"/>
  <c r="G16" i="7"/>
  <c r="H16" i="7"/>
  <c r="G17" i="7"/>
  <c r="H17" i="7"/>
  <c r="B16" i="2"/>
  <c r="G2" i="2"/>
  <c r="H2" i="2" s="1"/>
  <c r="G6" i="2"/>
  <c r="H6" i="2" s="1"/>
  <c r="G7" i="2"/>
  <c r="H7" i="2"/>
  <c r="G9" i="2"/>
  <c r="H9" i="2"/>
  <c r="G4" i="2"/>
  <c r="H4" i="2"/>
  <c r="G5" i="2"/>
  <c r="H5" i="2"/>
  <c r="G11" i="2"/>
  <c r="H11" i="2"/>
  <c r="H3" i="2"/>
  <c r="H8" i="2"/>
  <c r="H12" i="2"/>
  <c r="H13" i="2"/>
  <c r="G3" i="2"/>
  <c r="G8" i="2"/>
  <c r="G10" i="2"/>
  <c r="H10" i="2" s="1"/>
  <c r="G12" i="2"/>
  <c r="G13" i="2"/>
  <c r="B15" i="2" l="1"/>
  <c r="B13" i="4"/>
  <c r="B15" i="4"/>
</calcChain>
</file>

<file path=xl/sharedStrings.xml><?xml version="1.0" encoding="utf-8"?>
<sst xmlns="http://schemas.openxmlformats.org/spreadsheetml/2006/main" count="395" uniqueCount="312">
  <si>
    <t>Feature</t>
  </si>
  <si>
    <t>Notes</t>
  </si>
  <si>
    <t>Body Type</t>
  </si>
  <si>
    <t>2+2 Fastback/Coupe</t>
  </si>
  <si>
    <t>Number of Doors</t>
  </si>
  <si>
    <t>Battery Capacity</t>
  </si>
  <si>
    <t>Powertrain</t>
  </si>
  <si>
    <t>Wheel Size</t>
  </si>
  <si>
    <t>Suspension</t>
  </si>
  <si>
    <t>Adaptive (VZ)</t>
  </si>
  <si>
    <t>0–100 km/h</t>
  </si>
  <si>
    <t>Top Speed</t>
  </si>
  <si>
    <t>DC Fast Charging</t>
  </si>
  <si>
    <t>AC Charging</t>
  </si>
  <si>
    <t>Seating</t>
  </si>
  <si>
    <t>2+2</t>
  </si>
  <si>
    <t>Platform</t>
  </si>
  <si>
    <t>Target Value</t>
  </si>
  <si>
    <t>Unit</t>
  </si>
  <si>
    <t>Engineering Notes</t>
  </si>
  <si>
    <t>-</t>
  </si>
  <si>
    <t>Sport layout</t>
  </si>
  <si>
    <t>Coupe 2+2</t>
  </si>
  <si>
    <t>kWh</t>
  </si>
  <si>
    <t>AWD for performance variant</t>
  </si>
  <si>
    <t>inch</t>
  </si>
  <si>
    <t>Standard sport wheel</t>
  </si>
  <si>
    <t>Adaptive only for VZ trim</t>
  </si>
  <si>
    <t>Target Price</t>
  </si>
  <si>
    <t>€</t>
  </si>
  <si>
    <t>Sweet spot vs premium competitors</t>
  </si>
  <si>
    <t>Target Weight</t>
  </si>
  <si>
    <t>kg</t>
  </si>
  <si>
    <t>Structural aluminum mix</t>
  </si>
  <si>
    <t>s</t>
  </si>
  <si>
    <t>AWD target; RWD slower</t>
  </si>
  <si>
    <t>km/h</t>
  </si>
  <si>
    <t>Target</t>
  </si>
  <si>
    <t>Peak 230–250 (short burst); Sustained 180–190</t>
  </si>
  <si>
    <t>kW</t>
  </si>
  <si>
    <t>MEB Evo with high‑C cells</t>
  </si>
  <si>
    <t>11 (22 opt)</t>
  </si>
  <si>
    <t>22 kW optional</t>
  </si>
  <si>
    <t>MEB Evo</t>
  </si>
  <si>
    <t>MEB Evo / Performance variant</t>
  </si>
  <si>
    <t>—</t>
  </si>
  <si>
    <t>Target 77–82 kWh nominal</t>
  </si>
  <si>
    <t>Item</t>
  </si>
  <si>
    <t>Spec / Target</t>
  </si>
  <si>
    <t>Unit Cost (€)</t>
  </si>
  <si>
    <t>Mass (kg)</t>
  </si>
  <si>
    <t>continuous 3C; peak 5C</t>
  </si>
  <si>
    <t>improved busbars; liquid cold‑plate</t>
  </si>
  <si>
    <t>module count TBD</t>
  </si>
  <si>
    <t>reinforced enclosure; BMS integration</t>
  </si>
  <si>
    <t>crash‑rated</t>
  </si>
  <si>
    <t>1 ms sampling; peak current control</t>
  </si>
  <si>
    <t>fast balancing</t>
  </si>
  <si>
    <t>peak ≥300 kW; liquid cooled</t>
  </si>
  <si>
    <t>margin included</t>
  </si>
  <si>
    <t>peak torque tuning; 300 kW peak</t>
  </si>
  <si>
    <t>motor + gearbox</t>
  </si>
  <si>
    <t>500 A class; low R</t>
  </si>
  <si>
    <t>thermal shielding</t>
  </si>
  <si>
    <t>pack + power electronics loops</t>
  </si>
  <si>
    <t>redundant pumps</t>
  </si>
  <si>
    <t>1.2× peak current rating</t>
  </si>
  <si>
    <t>overspec</t>
  </si>
  <si>
    <t>battery mounts; crash structure</t>
  </si>
  <si>
    <t>aluminum/steel mix</t>
  </si>
  <si>
    <t>charge/discharge derating maps</t>
  </si>
  <si>
    <t>SW + calibration</t>
  </si>
  <si>
    <t>distributed temp sensing</t>
  </si>
  <si>
    <t>IR spot checks</t>
  </si>
  <si>
    <t>pack ~77 kWh</t>
  </si>
  <si>
    <t>Constraint</t>
  </si>
  <si>
    <t>Status</t>
  </si>
  <si>
    <t>Parameter</t>
  </si>
  <si>
    <t>Value</t>
  </si>
  <si>
    <t>Formula / Excel</t>
  </si>
  <si>
    <t>input</t>
  </si>
  <si>
    <t>formula</t>
  </si>
  <si>
    <t>kJ</t>
  </si>
  <si>
    <t>Total Upgrade Cost</t>
  </si>
  <si>
    <t>TestID</t>
  </si>
  <si>
    <t>Objective</t>
  </si>
  <si>
    <t>PassCriteria</t>
  </si>
  <si>
    <t>Duration</t>
  </si>
  <si>
    <t>Responsible</t>
  </si>
  <si>
    <t>T1</t>
  </si>
  <si>
    <t>Pack C‑rate bench</t>
  </si>
  <si>
    <t>3C cont; 5C pulse; temp &lt; X°C</t>
  </si>
  <si>
    <t>2 wks</t>
  </si>
  <si>
    <t>Battery Eng</t>
  </si>
  <si>
    <t>T2</t>
  </si>
  <si>
    <t>Inverter peak pulse</t>
  </si>
  <si>
    <t>250 kW 10s pulse; thermal OK</t>
  </si>
  <si>
    <t>1 wk</t>
  </si>
  <si>
    <t>Power Elec</t>
  </si>
  <si>
    <t>T3</t>
  </si>
  <si>
    <t>Vehicle 0–100 dyno</t>
  </si>
  <si>
    <t>0–100 &lt; 5.0 s (repeatable)</t>
  </si>
  <si>
    <t>Vehicle Dyno</t>
  </si>
  <si>
    <t>T4</t>
  </si>
  <si>
    <t>CCS 10–80%</t>
  </si>
  <si>
    <t>10–80% ~25–28 min</t>
  </si>
  <si>
    <t>Charging Eng</t>
  </si>
  <si>
    <t>T5</t>
  </si>
  <si>
    <t>Durability cycling</t>
  </si>
  <si>
    <t>1000 high‑C cycles</t>
  </si>
  <si>
    <t>12 wks</t>
  </si>
  <si>
    <t>Reliability</t>
  </si>
  <si>
    <t>Qty_Num</t>
  </si>
  <si>
    <t>UnitCost_Num</t>
  </si>
  <si>
    <t>TotalCost_Num</t>
  </si>
  <si>
    <t>High-C battery cell premium</t>
  </si>
  <si>
    <t>Cold-plate module upgrade</t>
  </si>
  <si>
    <t>Pack structural upgrade</t>
  </si>
  <si>
    <t>High-current BMS upgrade</t>
  </si>
  <si>
    <t>Performance inverter upgrade</t>
  </si>
  <si>
    <t>HV harness &amp; CCS upgrade</t>
  </si>
  <si>
    <t>Dual-loop thermal delta</t>
  </si>
  <si>
    <t>High-current contactors delta</t>
  </si>
  <si>
    <t>Body structural reinforcement delta</t>
  </si>
  <si>
    <t>Performance software calibration</t>
  </si>
  <si>
    <t>Additional thermal sensors</t>
  </si>
  <si>
    <t>Total Upgrade Mass</t>
  </si>
  <si>
    <t>Rear drive performance calibration</t>
  </si>
  <si>
    <t>Body-in-White</t>
  </si>
  <si>
    <t>Panoramic glazing&amp;roof</t>
  </si>
  <si>
    <t>Interior &amp; seats</t>
  </si>
  <si>
    <t>Closures &amp; exterior panels</t>
  </si>
  <si>
    <t>Base battery pack (79 kWh)</t>
  </si>
  <si>
    <t>Rear e-drive unit</t>
  </si>
  <si>
    <t>Base inverter</t>
  </si>
  <si>
    <t>Thermal system</t>
  </si>
  <si>
    <t>HV wiring &amp; charging hardware</t>
  </si>
  <si>
    <t>Chassis &amp; suspension</t>
  </si>
  <si>
    <t>Brakes</t>
  </si>
  <si>
    <t>Wheels &amp; tires</t>
  </si>
  <si>
    <t>Lighting</t>
  </si>
  <si>
    <t>ECUs / infotainment /ADAS</t>
  </si>
  <si>
    <t>Assembly labor &amp; logistics</t>
  </si>
  <si>
    <t>Warranty reserve</t>
  </si>
  <si>
    <t>2-door 2+2 fastback coupe shell, steel/aluminum mix</t>
  </si>
  <si>
    <t>closures + exterior trim combined</t>
  </si>
  <si>
    <t>core body structure</t>
  </si>
  <si>
    <t>hood, 2 doors, liftback tailgate, bumpers, exterior trim</t>
  </si>
  <si>
    <t>opening front glass panel + fixed rear panoramic glass</t>
  </si>
  <si>
    <t>includes roof system + structural roof reinforcement</t>
  </si>
  <si>
    <t>premium interior, sporty front seats, 2+2 rear seats, trim set</t>
  </si>
  <si>
    <t>includes front seats, rear seats, dash, console, door trim</t>
  </si>
  <si>
    <t>79 kWh pack complete, standard chemistry</t>
  </si>
  <si>
    <t>complete battery pack incl. enclosure, baseline BMS and mounting</t>
  </si>
  <si>
    <t>240 kWh class rear motor + gearbox</t>
  </si>
  <si>
    <t>base VZ rear drive unit</t>
  </si>
  <si>
    <t>standard inverter matched to rear drive</t>
  </si>
  <si>
    <t>baseline inverter</t>
  </si>
  <si>
    <t>battery, cabin and power electronics cooling</t>
  </si>
  <si>
    <t>single-loop baseline thermal system</t>
  </si>
  <si>
    <t>HV harness, CCS interface, contactors, fuses</t>
  </si>
  <si>
    <t>combined high-voltage charging hardware</t>
  </si>
  <si>
    <t>front and rear suspension, steering system</t>
  </si>
  <si>
    <t>front suspension + rear suspension + EPAS</t>
  </si>
  <si>
    <t>standard performance brake system</t>
  </si>
  <si>
    <t>ventilated discs and calipers</t>
  </si>
  <si>
    <t>19-inch wheel and tire set</t>
  </si>
  <si>
    <t>full vehicle set</t>
  </si>
  <si>
    <t>LED headlights, rear light bar, DRLs</t>
  </si>
  <si>
    <t>full exterior lighting system</t>
  </si>
  <si>
    <t>central display, cockpit, ECUs, base ADAS sensors</t>
  </si>
  <si>
    <t>electronics, body wiring, infotainment and ADAS combined</t>
  </si>
  <si>
    <t>assembly labor, plant variable overhead, logistics</t>
  </si>
  <si>
    <t>per vehicle manufacturing and logistics allowance</t>
  </si>
  <si>
    <t xml:space="preserve">per vehicle reserve </t>
  </si>
  <si>
    <t>initial warranty reserve</t>
  </si>
  <si>
    <t>Total Base Cost</t>
  </si>
  <si>
    <t>Total Base Mass</t>
  </si>
  <si>
    <t>Variant</t>
  </si>
  <si>
    <t>Gross Difference (%)</t>
  </si>
  <si>
    <t>VZ</t>
  </si>
  <si>
    <t>VZ+</t>
  </si>
  <si>
    <r>
      <t xml:space="preserve">MSRP </t>
    </r>
    <r>
      <rPr>
        <b/>
        <sz val="11"/>
        <color theme="1"/>
        <rFont val="Aptos Narrow"/>
        <family val="2"/>
      </rPr>
      <t>€</t>
    </r>
  </si>
  <si>
    <r>
      <t xml:space="preserve">Vehicle Cost </t>
    </r>
    <r>
      <rPr>
        <b/>
        <sz val="11"/>
        <color theme="1"/>
        <rFont val="Aptos Narrow"/>
        <family val="2"/>
      </rPr>
      <t>€</t>
    </r>
  </si>
  <si>
    <t>Component Mass (kg)</t>
  </si>
  <si>
    <t>Fluids &amp; consumables</t>
  </si>
  <si>
    <t>Fasteners / adhesives / NVH (kg)</t>
  </si>
  <si>
    <t>Trim / hardware allowance (kg)</t>
  </si>
  <si>
    <t>Safety / regulatory margin (kg)</t>
  </si>
  <si>
    <t>Estimated Curb Weight (kg)</t>
  </si>
  <si>
    <t>RWD base, AWD performance variant</t>
  </si>
  <si>
    <t>1850 kg VZ / 1915 kg VZ+</t>
  </si>
  <si>
    <t xml:space="preserve">VZ 58-61k / VZ+ 69-71k </t>
  </si>
  <si>
    <t>5.3-5.5 s VZ / 4.4-4.7 s VZ+</t>
  </si>
  <si>
    <t>VZ_Curb_Weight</t>
  </si>
  <si>
    <t>link</t>
  </si>
  <si>
    <t>from Weight_Model</t>
  </si>
  <si>
    <t>VZ_PeakPower_kW</t>
  </si>
  <si>
    <t>base VZ peak power</t>
  </si>
  <si>
    <t>VZ_Drivetrain_Eff</t>
  </si>
  <si>
    <t>drivetrain efficiency assumption</t>
  </si>
  <si>
    <t>VZ_Energy_KE_kJ</t>
  </si>
  <si>
    <t>kinetic energy to 100 km/h</t>
  </si>
  <si>
    <t>VZ_Theoretical_0_100_s</t>
  </si>
  <si>
    <t>idealized theoretical minimum</t>
  </si>
  <si>
    <t>VZ_Realistic_0_100_s</t>
  </si>
  <si>
    <t>launch, traction and real-world correction</t>
  </si>
  <si>
    <t>VZPlus_Curb_Weight</t>
  </si>
  <si>
    <t>VZPlus_PeakPower_kW</t>
  </si>
  <si>
    <t>current MEB-realistic peak power target</t>
  </si>
  <si>
    <t>VZPlus_Drivetrain_Eff</t>
  </si>
  <si>
    <t>VZPlus_Energy_KE_kJ</t>
  </si>
  <si>
    <t>VZPlus_Theoretical_0_100_s</t>
  </si>
  <si>
    <t>VZPlus_Realistic_0_100_s</t>
  </si>
  <si>
    <t>traction and launch corrected estimate</t>
  </si>
  <si>
    <t>VZ_Target_Realistic_0_100_s</t>
  </si>
  <si>
    <t>product-planning target</t>
  </si>
  <si>
    <t>VZPlust_Target_Realistic_0_100_s</t>
  </si>
  <si>
    <t>Sport layout, liftback rear</t>
  </si>
  <si>
    <t>Market Role</t>
  </si>
  <si>
    <t>reachable halo</t>
  </si>
  <si>
    <t>emotional EV coupe below Audi/Porsche</t>
  </si>
  <si>
    <t>19 VZ / 20 VZ+</t>
  </si>
  <si>
    <t>Roof System</t>
  </si>
  <si>
    <t>opening panoramic glass roof</t>
  </si>
  <si>
    <t>front opening panel + fixed rear glass</t>
  </si>
  <si>
    <t>Reference Vehicles</t>
  </si>
  <si>
    <t>Cupra Tavascan, Cupra Born</t>
  </si>
  <si>
    <t>Platform architecture</t>
  </si>
  <si>
    <t>cost discipline, group-common EV architecture</t>
  </si>
  <si>
    <t>Locked</t>
  </si>
  <si>
    <t>Body style</t>
  </si>
  <si>
    <t>Rationale</t>
  </si>
  <si>
    <r>
      <t>Cost Impact (</t>
    </r>
    <r>
      <rPr>
        <b/>
        <sz val="11"/>
        <color theme="1"/>
        <rFont val="Aptos Narrow"/>
        <family val="2"/>
      </rPr>
      <t>€</t>
    </r>
    <r>
      <rPr>
        <b/>
        <sz val="11"/>
        <color theme="1"/>
        <rFont val="Aptos Narrow"/>
        <family val="2"/>
        <charset val="162"/>
      </rPr>
      <t>)</t>
    </r>
  </si>
  <si>
    <t>Mass Impact (kg)</t>
  </si>
  <si>
    <t>liftback rear opening retained</t>
  </si>
  <si>
    <t>Roof system</t>
  </si>
  <si>
    <t>core identity feature, premium emotional appeal</t>
  </si>
  <si>
    <t>Battery capacity</t>
  </si>
  <si>
    <t>79 kWh</t>
  </si>
  <si>
    <t>best balance of mass, cost and range within MEB family logic</t>
  </si>
  <si>
    <t>85 kWh rejected as too heavy/costly</t>
  </si>
  <si>
    <t>Base variant power</t>
  </si>
  <si>
    <t>group-realistic, supports VZ positioning</t>
  </si>
  <si>
    <t>RWD base setup</t>
  </si>
  <si>
    <t>Performance variant power</t>
  </si>
  <si>
    <t>aligned with Tavascan VZ reference and cost discipline</t>
  </si>
  <si>
    <t>represented via Upgrade BOM delta</t>
  </si>
  <si>
    <t>Drive layout split</t>
  </si>
  <si>
    <t>VZ = RWD / VZ+ = AWD</t>
  </si>
  <si>
    <t>clear hierarchy and pricing ladder</t>
  </si>
  <si>
    <t>included in delta</t>
  </si>
  <si>
    <t>AWD reserved for VZ+ only</t>
  </si>
  <si>
    <t>Wheel package</t>
  </si>
  <si>
    <t>19 inch base / 20 inch VZ+</t>
  </si>
  <si>
    <t>keeps base efficient, gives halo stance to VZ+</t>
  </si>
  <si>
    <t>20-inch premium included inside VZ+ strategy</t>
  </si>
  <si>
    <t>Thermal architecture</t>
  </si>
  <si>
    <t>performance variant requires stronger repeated-load cooling</t>
  </si>
  <si>
    <t>part of VZ+ delta cost stack</t>
  </si>
  <si>
    <t>Performance inverter requirement</t>
  </si>
  <si>
    <t>higher-load calibrated inverter</t>
  </si>
  <si>
    <t>required for VZ+ sustained output integrity</t>
  </si>
  <si>
    <t>optimized from earlier 3500 estimate</t>
  </si>
  <si>
    <t>High-C cell premium</t>
  </si>
  <si>
    <t>enhanced discharge capability</t>
  </si>
  <si>
    <t>needed to support VZ+ power delivery without oversized pack</t>
  </si>
  <si>
    <t>optimized from earlier 2800 estimate</t>
  </si>
  <si>
    <t>Body and pack reinforcement delta</t>
  </si>
  <si>
    <t>localized strengthening only</t>
  </si>
  <si>
    <t>supports roof opening and performance loads</t>
  </si>
  <si>
    <t>900 pack + 650 body reinforcement</t>
  </si>
  <si>
    <t xml:space="preserve">Loaded price ceiling </t>
  </si>
  <si>
    <t>upper psychological and brand boundary</t>
  </si>
  <si>
    <t>options ceiling, not base MSRP</t>
  </si>
  <si>
    <t>VZ target MSRP</t>
  </si>
  <si>
    <t>best center point from margin test</t>
  </si>
  <si>
    <t>60-62k working band</t>
  </si>
  <si>
    <t>VZ+ target MSRP</t>
  </si>
  <si>
    <t>70-72k working band</t>
  </si>
  <si>
    <t>VZ curb weight target</t>
  </si>
  <si>
    <t>realistic outcome from Weight_Model</t>
  </si>
  <si>
    <t>used in performance reality check</t>
  </si>
  <si>
    <t>VZ+ curb weight target</t>
  </si>
  <si>
    <t>1916.5</t>
  </si>
  <si>
    <t>base + optimized delta mass</t>
  </si>
  <si>
    <t>VZ target 0-100 km/h</t>
  </si>
  <si>
    <t>realistic planning target, not theoretical minimum</t>
  </si>
  <si>
    <t>aligned with 240 kW / 1850 kg</t>
  </si>
  <si>
    <t>VZ+ target 0-100 km/h</t>
  </si>
  <si>
    <t>realistic planning target under current 250 kW assumption</t>
  </si>
  <si>
    <t>if stronger target is needed, cost must rise</t>
  </si>
  <si>
    <t>240 kW</t>
  </si>
  <si>
    <t>250 kW</t>
  </si>
  <si>
    <t>Audi/Porsche upper platforms excluded</t>
  </si>
  <si>
    <t>2-door 2+2 fastback coupe</t>
  </si>
  <si>
    <t>single-loop base / dual-loop VZ+</t>
  </si>
  <si>
    <t>captures niche halo look without losing practical rear seats</t>
  </si>
  <si>
    <r>
      <t xml:space="preserve">Gross Difference </t>
    </r>
    <r>
      <rPr>
        <b/>
        <sz val="11"/>
        <color theme="1"/>
        <rFont val="Aptos Narrow"/>
        <family val="2"/>
      </rPr>
      <t>€</t>
    </r>
  </si>
  <si>
    <r>
      <t xml:space="preserve">Risk Adj. Cost </t>
    </r>
    <r>
      <rPr>
        <b/>
        <sz val="11"/>
        <color theme="1"/>
        <rFont val="Aptos Narrow"/>
        <family val="2"/>
      </rPr>
      <t>€</t>
    </r>
  </si>
  <si>
    <t>Risk Adj. Gross %</t>
  </si>
  <si>
    <t>Scenario</t>
  </si>
  <si>
    <t>Annual Volume</t>
  </si>
  <si>
    <t>VZ Mix</t>
  </si>
  <si>
    <t>VZ+ Mix</t>
  </si>
  <si>
    <t>Fixed Program Cost</t>
  </si>
  <si>
    <t>Low</t>
  </si>
  <si>
    <t>Base</t>
  </si>
  <si>
    <t>High</t>
  </si>
  <si>
    <r>
      <t xml:space="preserve">180M </t>
    </r>
    <r>
      <rPr>
        <sz val="11"/>
        <color theme="1"/>
        <rFont val="Aptos Narrow"/>
        <family val="2"/>
      </rPr>
      <t>€</t>
    </r>
  </si>
  <si>
    <r>
      <t xml:space="preserve">220M </t>
    </r>
    <r>
      <rPr>
        <sz val="11"/>
        <color theme="1"/>
        <rFont val="Aptos Narrow"/>
        <family val="2"/>
      </rPr>
      <t>€</t>
    </r>
  </si>
  <si>
    <r>
      <t xml:space="preserve">260M </t>
    </r>
    <r>
      <rPr>
        <sz val="11"/>
        <color theme="1"/>
        <rFont val="Aptos Narrow"/>
        <family val="2"/>
      </rPr>
      <t>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</si>
</sst>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7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</font>
    <font>
      <b/>
      <sz val="11"/>
      <color theme="1"/>
      <name val="Aptos Narrow"/>
      <family val="2"/>
      <charset val="16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0" xfId="0" applyFont="1" applyFill="1"/>
    <xf numFmtId="164" fontId="1" fillId="2" borderId="0" xfId="0" applyNumberFormat="1" applyFont="1" applyFill="1"/>
    <xf numFmtId="0" fontId="0" fillId="2" borderId="0" xfId="0" applyFill="1"/>
    <xf numFmtId="0" fontId="0" fillId="0" borderId="0" xfId="0" applyAlignment="1">
      <alignment horizontal="right"/>
    </xf>
    <xf numFmtId="0" fontId="0" fillId="2" borderId="0" xfId="0" applyFill="1" applyBorder="1"/>
    <xf numFmtId="0" fontId="0" fillId="2" borderId="3" xfId="0" applyFill="1" applyBorder="1"/>
    <xf numFmtId="0" fontId="0" fillId="0" borderId="0" xfId="0" applyFill="1" applyBorder="1"/>
    <xf numFmtId="0" fontId="6" fillId="2" borderId="0" xfId="0" applyFont="1" applyFill="1"/>
    <xf numFmtId="9" fontId="0" fillId="0" borderId="0" xfId="0" applyNumberFormat="1" applyAlignment="1">
      <alignment vertical="center" wrapText="1"/>
    </xf>
    <xf numFmtId="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337B-AE00-40A1-9160-AD5A78533016}">
  <dimension ref="A1:S18"/>
  <sheetViews>
    <sheetView workbookViewId="0">
      <selection activeCell="B19" sqref="B19"/>
    </sheetView>
  </sheetViews>
  <sheetFormatPr defaultRowHeight="15"/>
  <cols>
    <col min="1" max="1" width="16.42578125" customWidth="1"/>
    <col min="2" max="2" width="31.140625" customWidth="1"/>
    <col min="3" max="3" width="14.42578125" customWidth="1"/>
    <col min="4" max="4" width="34.7109375" customWidth="1"/>
    <col min="5" max="5" width="17.85546875" customWidth="1"/>
    <col min="6" max="6" width="11" customWidth="1"/>
    <col min="7" max="7" width="14.7109375" customWidth="1"/>
    <col min="8" max="8" width="16.5703125" customWidth="1"/>
    <col min="11" max="11" width="15" customWidth="1"/>
    <col min="15" max="15" width="11.85546875" customWidth="1"/>
  </cols>
  <sheetData>
    <row r="1" spans="1:19">
      <c r="A1" s="2" t="s">
        <v>0</v>
      </c>
      <c r="B1" s="2" t="s">
        <v>17</v>
      </c>
      <c r="C1" s="2" t="s">
        <v>18</v>
      </c>
      <c r="D1" s="2" t="s">
        <v>19</v>
      </c>
      <c r="G1" s="1"/>
      <c r="H1" s="3"/>
      <c r="I1" s="3"/>
      <c r="J1" s="3"/>
      <c r="K1" s="3"/>
      <c r="L1" s="4"/>
      <c r="O1" s="3"/>
      <c r="P1" s="3"/>
      <c r="Q1" s="3"/>
      <c r="R1" s="3"/>
      <c r="S1" s="3"/>
    </row>
    <row r="2" spans="1:19">
      <c r="A2" s="1" t="s">
        <v>2</v>
      </c>
      <c r="B2" s="1" t="s">
        <v>3</v>
      </c>
      <c r="C2" s="1" t="s">
        <v>20</v>
      </c>
      <c r="D2" s="1" t="s">
        <v>218</v>
      </c>
      <c r="H2" s="5"/>
      <c r="I2" s="5"/>
      <c r="J2" s="5"/>
      <c r="K2" s="5"/>
      <c r="L2" s="4"/>
      <c r="O2" s="1"/>
      <c r="P2" s="1"/>
      <c r="Q2" s="1"/>
      <c r="R2" s="1"/>
      <c r="S2" s="1"/>
    </row>
    <row r="3" spans="1:19">
      <c r="A3" s="1" t="s">
        <v>4</v>
      </c>
      <c r="B3" s="1">
        <v>2</v>
      </c>
      <c r="C3" s="1" t="s">
        <v>20</v>
      </c>
      <c r="D3" s="1" t="s">
        <v>22</v>
      </c>
      <c r="G3" s="1"/>
      <c r="H3" s="1"/>
      <c r="I3" s="1"/>
      <c r="J3" s="1"/>
      <c r="K3" s="1"/>
      <c r="O3" s="1"/>
      <c r="P3" s="1"/>
      <c r="Q3" s="1"/>
      <c r="R3" s="1"/>
      <c r="S3" s="1"/>
    </row>
    <row r="4" spans="1:19">
      <c r="A4" s="1" t="s">
        <v>5</v>
      </c>
      <c r="B4" s="1">
        <v>79</v>
      </c>
      <c r="C4" s="1" t="s">
        <v>23</v>
      </c>
      <c r="D4" s="1" t="s">
        <v>46</v>
      </c>
      <c r="G4" s="1"/>
      <c r="H4" s="1"/>
      <c r="I4" s="1"/>
      <c r="J4" s="1"/>
      <c r="K4" s="1"/>
      <c r="O4" s="1"/>
      <c r="P4" s="1"/>
      <c r="Q4" s="1"/>
      <c r="R4" s="1"/>
      <c r="S4" s="1"/>
    </row>
    <row r="5" spans="1:19" ht="30">
      <c r="A5" s="1" t="s">
        <v>6</v>
      </c>
      <c r="B5" s="1" t="s">
        <v>190</v>
      </c>
      <c r="C5" s="1" t="s">
        <v>20</v>
      </c>
      <c r="D5" s="1" t="s">
        <v>24</v>
      </c>
      <c r="G5" s="1"/>
      <c r="H5" s="1"/>
      <c r="I5" s="1"/>
      <c r="J5" s="1"/>
      <c r="K5" s="1"/>
      <c r="O5" s="1"/>
      <c r="P5" s="1"/>
      <c r="Q5" s="1"/>
      <c r="R5" s="1"/>
      <c r="S5" s="1"/>
    </row>
    <row r="6" spans="1:19">
      <c r="A6" s="1" t="s">
        <v>7</v>
      </c>
      <c r="B6" s="1" t="s">
        <v>222</v>
      </c>
      <c r="C6" s="1" t="s">
        <v>25</v>
      </c>
      <c r="D6" s="1" t="s">
        <v>26</v>
      </c>
      <c r="G6" s="1"/>
      <c r="H6" s="1"/>
      <c r="I6" s="1"/>
      <c r="J6" s="1"/>
      <c r="K6" s="1"/>
      <c r="O6" s="1"/>
      <c r="P6" s="1"/>
      <c r="Q6" s="1"/>
      <c r="R6" s="1"/>
      <c r="S6" s="1"/>
    </row>
    <row r="7" spans="1:19">
      <c r="A7" s="1" t="s">
        <v>8</v>
      </c>
      <c r="B7" s="1" t="s">
        <v>9</v>
      </c>
      <c r="C7" s="1" t="s">
        <v>20</v>
      </c>
      <c r="D7" s="1" t="s">
        <v>27</v>
      </c>
      <c r="G7" s="1"/>
      <c r="H7" s="1"/>
      <c r="I7" s="1"/>
      <c r="J7" s="1"/>
      <c r="K7" s="1"/>
    </row>
    <row r="8" spans="1:19">
      <c r="A8" s="1" t="s">
        <v>28</v>
      </c>
      <c r="B8" s="1" t="s">
        <v>192</v>
      </c>
      <c r="C8" s="1" t="s">
        <v>29</v>
      </c>
      <c r="D8" s="1" t="s">
        <v>30</v>
      </c>
      <c r="G8" s="1"/>
      <c r="H8" s="1"/>
      <c r="I8" s="1"/>
      <c r="J8" s="1"/>
      <c r="K8" s="1"/>
    </row>
    <row r="9" spans="1:19">
      <c r="A9" s="1" t="s">
        <v>31</v>
      </c>
      <c r="B9" s="1" t="s">
        <v>191</v>
      </c>
      <c r="C9" s="1" t="s">
        <v>32</v>
      </c>
      <c r="D9" s="1" t="s">
        <v>33</v>
      </c>
      <c r="G9" s="1"/>
      <c r="H9" s="1"/>
      <c r="I9" s="1"/>
      <c r="J9" s="1"/>
      <c r="K9" s="1"/>
    </row>
    <row r="10" spans="1:19">
      <c r="A10" s="1" t="s">
        <v>10</v>
      </c>
      <c r="B10" s="1" t="s">
        <v>193</v>
      </c>
      <c r="C10" s="1" t="s">
        <v>34</v>
      </c>
      <c r="D10" s="1" t="s">
        <v>35</v>
      </c>
      <c r="G10" s="1"/>
      <c r="H10" s="1"/>
      <c r="I10" s="1"/>
      <c r="J10" s="1"/>
      <c r="K10" s="1"/>
    </row>
    <row r="11" spans="1:19">
      <c r="A11" s="1" t="s">
        <v>11</v>
      </c>
      <c r="B11" s="1">
        <v>220</v>
      </c>
      <c r="C11" s="1" t="s">
        <v>36</v>
      </c>
      <c r="D11" s="1" t="s">
        <v>37</v>
      </c>
      <c r="G11" s="1"/>
      <c r="H11" s="1"/>
      <c r="I11" s="1"/>
      <c r="J11" s="1"/>
      <c r="K11" s="1"/>
    </row>
    <row r="12" spans="1:19" ht="30">
      <c r="A12" s="1" t="s">
        <v>12</v>
      </c>
      <c r="B12" s="1" t="s">
        <v>38</v>
      </c>
      <c r="C12" s="1" t="s">
        <v>39</v>
      </c>
      <c r="D12" s="1" t="s">
        <v>40</v>
      </c>
      <c r="G12" s="1"/>
      <c r="H12" s="1"/>
      <c r="I12" s="1"/>
      <c r="J12" s="1"/>
      <c r="K12" s="1"/>
    </row>
    <row r="13" spans="1:19">
      <c r="A13" s="1" t="s">
        <v>13</v>
      </c>
      <c r="B13" s="1" t="s">
        <v>41</v>
      </c>
      <c r="C13" s="1" t="s">
        <v>39</v>
      </c>
      <c r="D13" s="1" t="s">
        <v>42</v>
      </c>
      <c r="G13" s="1"/>
      <c r="H13" s="1"/>
      <c r="I13" s="1"/>
      <c r="J13" s="1"/>
      <c r="K13" s="1"/>
    </row>
    <row r="14" spans="1:19">
      <c r="A14" s="1" t="s">
        <v>14</v>
      </c>
      <c r="B14" s="1" t="s">
        <v>15</v>
      </c>
      <c r="C14" s="1" t="s">
        <v>20</v>
      </c>
      <c r="D14" s="1" t="s">
        <v>21</v>
      </c>
      <c r="G14" s="1"/>
      <c r="H14" s="1"/>
      <c r="I14" s="1"/>
      <c r="J14" s="1"/>
      <c r="K14" s="1"/>
    </row>
    <row r="15" spans="1:19">
      <c r="A15" s="1" t="s">
        <v>16</v>
      </c>
      <c r="B15" s="1" t="s">
        <v>43</v>
      </c>
      <c r="C15" s="1" t="s">
        <v>20</v>
      </c>
      <c r="D15" s="1" t="s">
        <v>44</v>
      </c>
    </row>
    <row r="16" spans="1:19" ht="30">
      <c r="A16" s="1" t="s">
        <v>219</v>
      </c>
      <c r="B16" s="1" t="s">
        <v>220</v>
      </c>
      <c r="C16" s="1" t="s">
        <v>45</v>
      </c>
      <c r="D16" s="1" t="s">
        <v>221</v>
      </c>
    </row>
    <row r="17" spans="1:4">
      <c r="A17" s="1" t="s">
        <v>223</v>
      </c>
      <c r="B17" s="1" t="s">
        <v>224</v>
      </c>
      <c r="D17" s="1" t="s">
        <v>225</v>
      </c>
    </row>
    <row r="18" spans="1:4" ht="30">
      <c r="A18" s="1" t="s">
        <v>226</v>
      </c>
      <c r="B18" s="1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1CE0-9BB9-4156-9161-9AB3AF085FE0}">
  <dimension ref="A1:H20"/>
  <sheetViews>
    <sheetView workbookViewId="0">
      <selection activeCell="B18" sqref="B18"/>
    </sheetView>
  </sheetViews>
  <sheetFormatPr defaultRowHeight="15"/>
  <cols>
    <col min="1" max="1" width="26.28515625" customWidth="1"/>
    <col min="2" max="2" width="48" customWidth="1"/>
    <col min="4" max="4" width="5.7109375" customWidth="1"/>
    <col min="5" max="5" width="53.42578125" customWidth="1"/>
    <col min="6" max="6" width="5.140625" customWidth="1"/>
    <col min="7" max="7" width="7.85546875" customWidth="1"/>
    <col min="8" max="8" width="8.7109375" customWidth="1"/>
  </cols>
  <sheetData>
    <row r="1" spans="1:8" ht="45">
      <c r="A1" s="2" t="s">
        <v>47</v>
      </c>
      <c r="B1" s="2" t="s">
        <v>48</v>
      </c>
      <c r="C1" s="2" t="s">
        <v>49</v>
      </c>
      <c r="D1" s="2" t="s">
        <v>50</v>
      </c>
      <c r="E1" s="2" t="s">
        <v>1</v>
      </c>
      <c r="F1" s="2" t="s">
        <v>112</v>
      </c>
      <c r="G1" s="2" t="s">
        <v>113</v>
      </c>
      <c r="H1" s="2" t="s">
        <v>114</v>
      </c>
    </row>
    <row r="2" spans="1:8" ht="21" customHeight="1">
      <c r="A2" t="s">
        <v>128</v>
      </c>
      <c r="B2" s="8" t="s">
        <v>144</v>
      </c>
      <c r="C2">
        <v>4300</v>
      </c>
      <c r="D2">
        <v>320</v>
      </c>
      <c r="E2" t="s">
        <v>146</v>
      </c>
      <c r="F2">
        <v>1</v>
      </c>
      <c r="G2">
        <f>C2</f>
        <v>4300</v>
      </c>
      <c r="H2">
        <f>F2*G2</f>
        <v>4300</v>
      </c>
    </row>
    <row r="3" spans="1:8">
      <c r="A3" t="s">
        <v>131</v>
      </c>
      <c r="B3" t="s">
        <v>147</v>
      </c>
      <c r="C3">
        <v>2650</v>
      </c>
      <c r="D3">
        <v>123</v>
      </c>
      <c r="E3" t="s">
        <v>145</v>
      </c>
      <c r="F3">
        <v>1</v>
      </c>
      <c r="G3">
        <f t="shared" ref="G3:G17" si="0">C3</f>
        <v>2650</v>
      </c>
      <c r="H3">
        <f t="shared" ref="H3:H17" si="1">F3*G3</f>
        <v>2650</v>
      </c>
    </row>
    <row r="4" spans="1:8">
      <c r="A4" t="s">
        <v>129</v>
      </c>
      <c r="B4" t="s">
        <v>148</v>
      </c>
      <c r="C4">
        <v>1650</v>
      </c>
      <c r="D4">
        <v>36</v>
      </c>
      <c r="E4" t="s">
        <v>149</v>
      </c>
      <c r="F4">
        <v>1</v>
      </c>
      <c r="G4">
        <f t="shared" si="0"/>
        <v>1650</v>
      </c>
      <c r="H4">
        <f t="shared" si="1"/>
        <v>1650</v>
      </c>
    </row>
    <row r="5" spans="1:8">
      <c r="A5" t="s">
        <v>130</v>
      </c>
      <c r="B5" t="s">
        <v>150</v>
      </c>
      <c r="C5">
        <v>2650</v>
      </c>
      <c r="D5">
        <v>115</v>
      </c>
      <c r="E5" t="s">
        <v>151</v>
      </c>
      <c r="F5">
        <v>1</v>
      </c>
      <c r="G5">
        <f t="shared" si="0"/>
        <v>2650</v>
      </c>
      <c r="H5">
        <f t="shared" si="1"/>
        <v>2650</v>
      </c>
    </row>
    <row r="6" spans="1:8">
      <c r="A6" t="s">
        <v>132</v>
      </c>
      <c r="B6" t="s">
        <v>152</v>
      </c>
      <c r="C6">
        <v>8900</v>
      </c>
      <c r="D6">
        <v>487</v>
      </c>
      <c r="E6" t="s">
        <v>153</v>
      </c>
      <c r="F6">
        <v>1</v>
      </c>
      <c r="G6">
        <f t="shared" si="0"/>
        <v>8900</v>
      </c>
      <c r="H6">
        <f t="shared" si="1"/>
        <v>8900</v>
      </c>
    </row>
    <row r="7" spans="1:8">
      <c r="A7" t="s">
        <v>133</v>
      </c>
      <c r="B7" t="s">
        <v>154</v>
      </c>
      <c r="C7">
        <v>3300</v>
      </c>
      <c r="D7">
        <v>85</v>
      </c>
      <c r="E7" t="s">
        <v>155</v>
      </c>
      <c r="F7">
        <v>1</v>
      </c>
      <c r="G7">
        <f t="shared" si="0"/>
        <v>3300</v>
      </c>
      <c r="H7">
        <f t="shared" si="1"/>
        <v>3300</v>
      </c>
    </row>
    <row r="8" spans="1:8">
      <c r="A8" t="s">
        <v>134</v>
      </c>
      <c r="B8" t="s">
        <v>156</v>
      </c>
      <c r="C8">
        <v>1450</v>
      </c>
      <c r="D8">
        <v>8</v>
      </c>
      <c r="E8" t="s">
        <v>157</v>
      </c>
      <c r="F8">
        <v>1</v>
      </c>
      <c r="G8">
        <f t="shared" si="0"/>
        <v>1450</v>
      </c>
      <c r="H8">
        <f t="shared" si="1"/>
        <v>1450</v>
      </c>
    </row>
    <row r="9" spans="1:8" ht="15" customHeight="1">
      <c r="A9" t="s">
        <v>135</v>
      </c>
      <c r="B9" t="s">
        <v>158</v>
      </c>
      <c r="C9">
        <v>950</v>
      </c>
      <c r="D9">
        <v>22</v>
      </c>
      <c r="E9" t="s">
        <v>159</v>
      </c>
      <c r="F9">
        <v>1</v>
      </c>
      <c r="G9">
        <f t="shared" si="0"/>
        <v>950</v>
      </c>
      <c r="H9">
        <f t="shared" si="1"/>
        <v>950</v>
      </c>
    </row>
    <row r="10" spans="1:8">
      <c r="A10" t="s">
        <v>136</v>
      </c>
      <c r="B10" t="s">
        <v>160</v>
      </c>
      <c r="C10">
        <v>750</v>
      </c>
      <c r="D10">
        <v>12</v>
      </c>
      <c r="E10" t="s">
        <v>161</v>
      </c>
      <c r="F10">
        <v>1</v>
      </c>
      <c r="G10">
        <f t="shared" si="0"/>
        <v>750</v>
      </c>
      <c r="H10">
        <f t="shared" si="1"/>
        <v>750</v>
      </c>
    </row>
    <row r="11" spans="1:8">
      <c r="A11" t="s">
        <v>137</v>
      </c>
      <c r="B11" t="s">
        <v>162</v>
      </c>
      <c r="C11">
        <v>1850</v>
      </c>
      <c r="D11">
        <v>106</v>
      </c>
      <c r="E11" t="s">
        <v>163</v>
      </c>
      <c r="F11">
        <v>1</v>
      </c>
      <c r="G11">
        <f t="shared" si="0"/>
        <v>1850</v>
      </c>
      <c r="H11">
        <f t="shared" si="1"/>
        <v>1850</v>
      </c>
    </row>
    <row r="12" spans="1:8">
      <c r="A12" t="s">
        <v>138</v>
      </c>
      <c r="B12" t="s">
        <v>164</v>
      </c>
      <c r="C12">
        <v>800</v>
      </c>
      <c r="D12">
        <v>38</v>
      </c>
      <c r="E12" t="s">
        <v>165</v>
      </c>
      <c r="F12">
        <v>1</v>
      </c>
      <c r="G12">
        <f t="shared" si="0"/>
        <v>800</v>
      </c>
      <c r="H12">
        <f t="shared" si="1"/>
        <v>800</v>
      </c>
    </row>
    <row r="13" spans="1:8">
      <c r="A13" t="s">
        <v>139</v>
      </c>
      <c r="B13" t="s">
        <v>166</v>
      </c>
      <c r="C13">
        <v>1250</v>
      </c>
      <c r="D13">
        <v>86</v>
      </c>
      <c r="E13" t="s">
        <v>167</v>
      </c>
      <c r="F13">
        <v>1</v>
      </c>
      <c r="G13">
        <f t="shared" si="0"/>
        <v>1250</v>
      </c>
      <c r="H13">
        <f t="shared" si="1"/>
        <v>1250</v>
      </c>
    </row>
    <row r="14" spans="1:8">
      <c r="A14" t="s">
        <v>140</v>
      </c>
      <c r="B14" t="s">
        <v>168</v>
      </c>
      <c r="C14">
        <v>850</v>
      </c>
      <c r="D14">
        <v>12</v>
      </c>
      <c r="E14" t="s">
        <v>169</v>
      </c>
      <c r="F14">
        <v>1</v>
      </c>
      <c r="G14">
        <f t="shared" si="0"/>
        <v>850</v>
      </c>
      <c r="H14">
        <f t="shared" si="1"/>
        <v>850</v>
      </c>
    </row>
    <row r="15" spans="1:8">
      <c r="A15" t="s">
        <v>141</v>
      </c>
      <c r="B15" t="s">
        <v>170</v>
      </c>
      <c r="C15">
        <v>2200</v>
      </c>
      <c r="D15">
        <v>40</v>
      </c>
      <c r="E15" t="s">
        <v>171</v>
      </c>
      <c r="F15">
        <v>1</v>
      </c>
      <c r="G15">
        <f t="shared" si="0"/>
        <v>2200</v>
      </c>
      <c r="H15">
        <f t="shared" si="1"/>
        <v>2200</v>
      </c>
    </row>
    <row r="16" spans="1:8">
      <c r="A16" t="s">
        <v>142</v>
      </c>
      <c r="B16" t="s">
        <v>172</v>
      </c>
      <c r="C16">
        <v>3200</v>
      </c>
      <c r="D16">
        <v>0</v>
      </c>
      <c r="E16" t="s">
        <v>173</v>
      </c>
      <c r="F16">
        <v>1</v>
      </c>
      <c r="G16">
        <f t="shared" si="0"/>
        <v>3200</v>
      </c>
      <c r="H16">
        <f t="shared" si="1"/>
        <v>3200</v>
      </c>
    </row>
    <row r="17" spans="1:8">
      <c r="A17" t="s">
        <v>143</v>
      </c>
      <c r="B17" t="s">
        <v>174</v>
      </c>
      <c r="C17">
        <v>750</v>
      </c>
      <c r="D17">
        <v>0</v>
      </c>
      <c r="E17" t="s">
        <v>175</v>
      </c>
      <c r="F17">
        <v>1</v>
      </c>
      <c r="G17">
        <f t="shared" si="0"/>
        <v>750</v>
      </c>
      <c r="H17">
        <f t="shared" si="1"/>
        <v>750</v>
      </c>
    </row>
    <row r="19" spans="1:8">
      <c r="A19" s="11" t="s">
        <v>176</v>
      </c>
      <c r="H19">
        <f>SUM(H2:H17)</f>
        <v>37500</v>
      </c>
    </row>
    <row r="20" spans="1:8">
      <c r="A20" s="10" t="s">
        <v>177</v>
      </c>
      <c r="H20">
        <f>SUM(D2:D17)</f>
        <v>1490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6089-972C-463D-A290-4562F3B8B2D6}">
  <dimension ref="A1:H16"/>
  <sheetViews>
    <sheetView zoomScaleNormal="80" zoomScaleSheetLayoutView="100" workbookViewId="0">
      <selection activeCell="C14" sqref="C14"/>
    </sheetView>
  </sheetViews>
  <sheetFormatPr defaultRowHeight="15"/>
  <cols>
    <col min="1" max="1" width="24.7109375" customWidth="1"/>
    <col min="2" max="2" width="20.7109375" customWidth="1"/>
    <col min="5" max="5" width="20.7109375" customWidth="1"/>
    <col min="7" max="7" width="15.140625" customWidth="1"/>
    <col min="8" max="8" width="16" customWidth="1"/>
  </cols>
  <sheetData>
    <row r="1" spans="1:8" ht="30">
      <c r="A1" s="2" t="s">
        <v>47</v>
      </c>
      <c r="B1" s="2" t="s">
        <v>48</v>
      </c>
      <c r="C1" s="2" t="s">
        <v>49</v>
      </c>
      <c r="D1" s="2" t="s">
        <v>50</v>
      </c>
      <c r="E1" s="2" t="s">
        <v>1</v>
      </c>
      <c r="F1" s="2" t="s">
        <v>112</v>
      </c>
      <c r="G1" s="2" t="s">
        <v>113</v>
      </c>
      <c r="H1" s="2" t="s">
        <v>114</v>
      </c>
    </row>
    <row r="2" spans="1:8" ht="30">
      <c r="A2" s="1" t="s">
        <v>115</v>
      </c>
      <c r="B2" s="1" t="s">
        <v>51</v>
      </c>
      <c r="C2" s="1">
        <v>1200</v>
      </c>
      <c r="D2" s="1">
        <v>5</v>
      </c>
      <c r="E2" s="1" t="s">
        <v>74</v>
      </c>
      <c r="F2">
        <v>1</v>
      </c>
      <c r="G2">
        <f>VALUE(C2)</f>
        <v>1200</v>
      </c>
      <c r="H2">
        <f>F2*G2</f>
        <v>1200</v>
      </c>
    </row>
    <row r="3" spans="1:8" ht="30">
      <c r="A3" s="1" t="s">
        <v>116</v>
      </c>
      <c r="B3" s="1" t="s">
        <v>52</v>
      </c>
      <c r="C3" s="1">
        <v>450</v>
      </c>
      <c r="D3" s="1">
        <v>8</v>
      </c>
      <c r="E3" s="1" t="s">
        <v>53</v>
      </c>
      <c r="F3">
        <v>1</v>
      </c>
      <c r="G3">
        <f t="shared" ref="G3:G13" si="0">VALUE(C3)</f>
        <v>450</v>
      </c>
      <c r="H3">
        <f t="shared" ref="H3:H13" si="1">F3*G3</f>
        <v>450</v>
      </c>
    </row>
    <row r="4" spans="1:8" ht="30">
      <c r="A4" s="1" t="s">
        <v>117</v>
      </c>
      <c r="B4" s="1" t="s">
        <v>54</v>
      </c>
      <c r="C4" s="1">
        <v>600</v>
      </c>
      <c r="D4" s="1">
        <v>12</v>
      </c>
      <c r="E4" s="1" t="s">
        <v>55</v>
      </c>
      <c r="F4">
        <v>1</v>
      </c>
      <c r="G4">
        <f t="shared" si="0"/>
        <v>600</v>
      </c>
      <c r="H4">
        <f t="shared" si="1"/>
        <v>600</v>
      </c>
    </row>
    <row r="5" spans="1:8" ht="30">
      <c r="A5" s="1" t="s">
        <v>118</v>
      </c>
      <c r="B5" s="1" t="s">
        <v>56</v>
      </c>
      <c r="C5" s="1">
        <v>300</v>
      </c>
      <c r="D5" s="1">
        <v>1</v>
      </c>
      <c r="E5" s="1" t="s">
        <v>57</v>
      </c>
      <c r="F5">
        <v>1</v>
      </c>
      <c r="G5">
        <f t="shared" si="0"/>
        <v>300</v>
      </c>
      <c r="H5">
        <f t="shared" si="1"/>
        <v>300</v>
      </c>
    </row>
    <row r="6" spans="1:8" ht="30">
      <c r="A6" s="1" t="s">
        <v>119</v>
      </c>
      <c r="B6" s="1" t="s">
        <v>58</v>
      </c>
      <c r="C6" s="1">
        <v>1500</v>
      </c>
      <c r="D6" s="1">
        <v>4</v>
      </c>
      <c r="E6" s="1" t="s">
        <v>59</v>
      </c>
      <c r="F6">
        <v>1</v>
      </c>
      <c r="G6">
        <f t="shared" si="0"/>
        <v>1500</v>
      </c>
      <c r="H6">
        <f t="shared" si="1"/>
        <v>1500</v>
      </c>
    </row>
    <row r="7" spans="1:8" ht="30">
      <c r="A7" s="1" t="s">
        <v>127</v>
      </c>
      <c r="B7" s="1" t="s">
        <v>60</v>
      </c>
      <c r="C7" s="1">
        <v>600</v>
      </c>
      <c r="D7" s="1">
        <v>0</v>
      </c>
      <c r="E7" s="1" t="s">
        <v>61</v>
      </c>
      <c r="F7">
        <v>1</v>
      </c>
      <c r="G7">
        <f t="shared" si="0"/>
        <v>600</v>
      </c>
      <c r="H7">
        <f t="shared" si="1"/>
        <v>600</v>
      </c>
    </row>
    <row r="8" spans="1:8">
      <c r="A8" s="1" t="s">
        <v>120</v>
      </c>
      <c r="B8" s="1" t="s">
        <v>62</v>
      </c>
      <c r="C8" s="1">
        <v>300</v>
      </c>
      <c r="D8" s="1">
        <v>2</v>
      </c>
      <c r="E8" s="1" t="s">
        <v>63</v>
      </c>
      <c r="F8">
        <v>1</v>
      </c>
      <c r="G8">
        <f t="shared" si="0"/>
        <v>300</v>
      </c>
      <c r="H8">
        <f t="shared" si="1"/>
        <v>300</v>
      </c>
    </row>
    <row r="9" spans="1:8" ht="30">
      <c r="A9" s="1" t="s">
        <v>121</v>
      </c>
      <c r="B9" s="1" t="s">
        <v>64</v>
      </c>
      <c r="C9" s="1">
        <v>600</v>
      </c>
      <c r="D9" s="1">
        <v>6</v>
      </c>
      <c r="E9" s="1" t="s">
        <v>65</v>
      </c>
      <c r="F9">
        <v>1</v>
      </c>
      <c r="G9">
        <f t="shared" si="0"/>
        <v>600</v>
      </c>
      <c r="H9">
        <f t="shared" si="1"/>
        <v>600</v>
      </c>
    </row>
    <row r="10" spans="1:8" ht="30">
      <c r="A10" s="1" t="s">
        <v>122</v>
      </c>
      <c r="B10" s="1" t="s">
        <v>66</v>
      </c>
      <c r="C10" s="1">
        <v>500</v>
      </c>
      <c r="D10" s="1">
        <v>1</v>
      </c>
      <c r="E10" s="1" t="s">
        <v>67</v>
      </c>
      <c r="F10">
        <v>1</v>
      </c>
      <c r="G10">
        <f t="shared" si="0"/>
        <v>500</v>
      </c>
      <c r="H10">
        <f t="shared" si="1"/>
        <v>500</v>
      </c>
    </row>
    <row r="11" spans="1:8" ht="30">
      <c r="A11" s="1" t="s">
        <v>123</v>
      </c>
      <c r="B11" s="1" t="s">
        <v>68</v>
      </c>
      <c r="C11" s="1">
        <v>500</v>
      </c>
      <c r="D11" s="1">
        <v>12</v>
      </c>
      <c r="E11" s="1" t="s">
        <v>69</v>
      </c>
      <c r="F11">
        <v>1</v>
      </c>
      <c r="G11">
        <f t="shared" si="0"/>
        <v>500</v>
      </c>
      <c r="H11">
        <f t="shared" si="1"/>
        <v>500</v>
      </c>
    </row>
    <row r="12" spans="1:8" ht="30">
      <c r="A12" s="1" t="s">
        <v>124</v>
      </c>
      <c r="B12" s="1" t="s">
        <v>70</v>
      </c>
      <c r="C12" s="1">
        <v>150</v>
      </c>
      <c r="D12" s="1">
        <v>0</v>
      </c>
      <c r="E12" s="1" t="s">
        <v>71</v>
      </c>
      <c r="F12">
        <v>1</v>
      </c>
      <c r="G12">
        <f t="shared" si="0"/>
        <v>150</v>
      </c>
      <c r="H12">
        <f t="shared" si="1"/>
        <v>150</v>
      </c>
    </row>
    <row r="13" spans="1:8" ht="30">
      <c r="A13" s="1" t="s">
        <v>125</v>
      </c>
      <c r="B13" s="1" t="s">
        <v>72</v>
      </c>
      <c r="C13" s="1">
        <v>90</v>
      </c>
      <c r="D13" s="1">
        <v>0.5</v>
      </c>
      <c r="E13" s="1" t="s">
        <v>73</v>
      </c>
      <c r="F13">
        <v>1</v>
      </c>
      <c r="G13">
        <f t="shared" si="0"/>
        <v>90</v>
      </c>
      <c r="H13">
        <f t="shared" si="1"/>
        <v>90</v>
      </c>
    </row>
    <row r="15" spans="1:8">
      <c r="A15" s="1" t="s">
        <v>83</v>
      </c>
      <c r="B15">
        <f>SUM(H2:H13)</f>
        <v>6790</v>
      </c>
    </row>
    <row r="16" spans="1:8">
      <c r="A16" s="1" t="s">
        <v>126</v>
      </c>
      <c r="B16">
        <f>SUM(D2:D13)</f>
        <v>51.5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182F-B923-47F1-8987-5C2963E2D6B6}">
  <dimension ref="A1:G22"/>
  <sheetViews>
    <sheetView zoomScale="90" zoomScaleNormal="80" zoomScaleSheetLayoutView="100" workbookViewId="0">
      <selection activeCell="I2" sqref="I2"/>
    </sheetView>
  </sheetViews>
  <sheetFormatPr defaultRowHeight="15"/>
  <cols>
    <col min="1" max="1" width="18.85546875" customWidth="1"/>
    <col min="2" max="2" width="19.85546875" customWidth="1"/>
    <col min="3" max="3" width="22.28515625" customWidth="1"/>
    <col min="4" max="4" width="0.42578125" hidden="1" customWidth="1"/>
    <col min="5" max="5" width="17.140625" customWidth="1"/>
    <col min="7" max="7" width="19.85546875" customWidth="1"/>
  </cols>
  <sheetData>
    <row r="1" spans="1:7" ht="25.5" customHeight="1">
      <c r="A1" s="2" t="s">
        <v>75</v>
      </c>
      <c r="B1" s="2" t="s">
        <v>37</v>
      </c>
      <c r="C1" s="2" t="s">
        <v>232</v>
      </c>
      <c r="D1" s="2" t="s">
        <v>233</v>
      </c>
      <c r="E1" s="2" t="s">
        <v>234</v>
      </c>
      <c r="F1" s="2" t="s">
        <v>76</v>
      </c>
      <c r="G1" s="2" t="s">
        <v>1</v>
      </c>
    </row>
    <row r="2" spans="1:7" ht="55.5" customHeight="1">
      <c r="A2" s="1" t="s">
        <v>228</v>
      </c>
      <c r="B2" s="1" t="s">
        <v>43</v>
      </c>
      <c r="C2" s="1" t="s">
        <v>229</v>
      </c>
      <c r="D2" s="1">
        <v>0</v>
      </c>
      <c r="E2" s="1">
        <v>0</v>
      </c>
      <c r="F2" s="1" t="s">
        <v>230</v>
      </c>
      <c r="G2" s="1" t="s">
        <v>294</v>
      </c>
    </row>
    <row r="3" spans="1:7" ht="60.75" customHeight="1">
      <c r="A3" s="1" t="s">
        <v>231</v>
      </c>
      <c r="B3" s="1" t="s">
        <v>295</v>
      </c>
      <c r="C3" s="1" t="s">
        <v>297</v>
      </c>
      <c r="D3" s="1">
        <v>0</v>
      </c>
      <c r="E3" s="1">
        <v>0</v>
      </c>
      <c r="F3" s="1" t="s">
        <v>230</v>
      </c>
      <c r="G3" s="1" t="s">
        <v>235</v>
      </c>
    </row>
    <row r="4" spans="1:7" ht="45">
      <c r="A4" s="1" t="s">
        <v>236</v>
      </c>
      <c r="B4" s="1" t="s">
        <v>224</v>
      </c>
      <c r="C4" s="1" t="s">
        <v>237</v>
      </c>
      <c r="D4" s="1">
        <v>1500</v>
      </c>
      <c r="E4" s="1">
        <v>26</v>
      </c>
      <c r="F4" s="1" t="s">
        <v>230</v>
      </c>
      <c r="G4" s="1" t="s">
        <v>225</v>
      </c>
    </row>
    <row r="5" spans="1:7" ht="45">
      <c r="A5" s="1" t="s">
        <v>238</v>
      </c>
      <c r="B5" s="1" t="s">
        <v>239</v>
      </c>
      <c r="C5" s="1" t="s">
        <v>240</v>
      </c>
      <c r="D5" s="1">
        <v>0</v>
      </c>
      <c r="E5" s="1">
        <v>0</v>
      </c>
      <c r="F5" s="1" t="s">
        <v>230</v>
      </c>
      <c r="G5" s="1" t="s">
        <v>241</v>
      </c>
    </row>
    <row r="6" spans="1:7" ht="30">
      <c r="A6" s="1" t="s">
        <v>242</v>
      </c>
      <c r="B6" s="1" t="s">
        <v>292</v>
      </c>
      <c r="C6" s="1" t="s">
        <v>243</v>
      </c>
      <c r="D6" s="1">
        <v>0</v>
      </c>
      <c r="E6" s="1">
        <v>0</v>
      </c>
      <c r="F6" s="1" t="s">
        <v>230</v>
      </c>
      <c r="G6" s="1" t="s">
        <v>244</v>
      </c>
    </row>
    <row r="7" spans="1:7" ht="45">
      <c r="A7" s="1" t="s">
        <v>245</v>
      </c>
      <c r="B7" s="1" t="s">
        <v>293</v>
      </c>
      <c r="C7" s="1" t="s">
        <v>246</v>
      </c>
      <c r="D7" s="1">
        <v>9360</v>
      </c>
      <c r="E7" s="1">
        <v>51.5</v>
      </c>
      <c r="F7" s="1" t="s">
        <v>230</v>
      </c>
      <c r="G7" s="1" t="s">
        <v>247</v>
      </c>
    </row>
    <row r="8" spans="1:7" ht="225">
      <c r="A8" s="1" t="s">
        <v>248</v>
      </c>
      <c r="B8" s="1" t="s">
        <v>249</v>
      </c>
      <c r="C8" s="1" t="s">
        <v>250</v>
      </c>
      <c r="D8" s="1" t="s">
        <v>251</v>
      </c>
      <c r="E8" s="1" t="s">
        <v>251</v>
      </c>
      <c r="F8" s="1" t="s">
        <v>230</v>
      </c>
      <c r="G8" s="1" t="s">
        <v>252</v>
      </c>
    </row>
    <row r="9" spans="1:7" ht="45">
      <c r="A9" s="1" t="s">
        <v>253</v>
      </c>
      <c r="B9" s="1" t="s">
        <v>254</v>
      </c>
      <c r="C9" s="1" t="s">
        <v>255</v>
      </c>
      <c r="D9" s="1">
        <v>600</v>
      </c>
      <c r="E9" s="1">
        <v>8</v>
      </c>
      <c r="F9" s="1" t="s">
        <v>230</v>
      </c>
      <c r="G9" s="1" t="s">
        <v>256</v>
      </c>
    </row>
    <row r="10" spans="1:7" ht="45">
      <c r="A10" s="1" t="s">
        <v>257</v>
      </c>
      <c r="B10" s="1" t="s">
        <v>296</v>
      </c>
      <c r="C10" s="1" t="s">
        <v>258</v>
      </c>
      <c r="D10" s="1">
        <v>700</v>
      </c>
      <c r="E10" s="1">
        <v>6</v>
      </c>
      <c r="F10" s="1" t="s">
        <v>230</v>
      </c>
      <c r="G10" s="1" t="s">
        <v>259</v>
      </c>
    </row>
    <row r="11" spans="1:7" ht="45">
      <c r="A11" s="1" t="s">
        <v>260</v>
      </c>
      <c r="B11" s="1" t="s">
        <v>261</v>
      </c>
      <c r="C11" s="1" t="s">
        <v>262</v>
      </c>
      <c r="D11" s="1">
        <v>2200</v>
      </c>
      <c r="E11" s="1">
        <v>4</v>
      </c>
      <c r="F11" s="1" t="s">
        <v>230</v>
      </c>
      <c r="G11" s="1" t="s">
        <v>263</v>
      </c>
    </row>
    <row r="12" spans="1:7" ht="45">
      <c r="A12" s="1" t="s">
        <v>264</v>
      </c>
      <c r="B12" s="1" t="s">
        <v>265</v>
      </c>
      <c r="C12" s="1" t="s">
        <v>266</v>
      </c>
      <c r="D12" s="1">
        <v>2000</v>
      </c>
      <c r="E12" s="1">
        <v>5</v>
      </c>
      <c r="F12" s="1" t="s">
        <v>230</v>
      </c>
      <c r="G12" s="1" t="s">
        <v>267</v>
      </c>
    </row>
    <row r="13" spans="1:7" ht="30">
      <c r="A13" s="1" t="s">
        <v>268</v>
      </c>
      <c r="B13" s="1" t="s">
        <v>269</v>
      </c>
      <c r="C13" s="1" t="s">
        <v>270</v>
      </c>
      <c r="D13" s="1">
        <v>1550</v>
      </c>
      <c r="E13" s="1">
        <v>24</v>
      </c>
      <c r="F13" s="1" t="s">
        <v>230</v>
      </c>
      <c r="G13" s="1" t="s">
        <v>271</v>
      </c>
    </row>
    <row r="14" spans="1:7" ht="30">
      <c r="A14" s="1" t="s">
        <v>272</v>
      </c>
      <c r="B14">
        <v>75000</v>
      </c>
      <c r="C14" s="1" t="s">
        <v>273</v>
      </c>
      <c r="D14" s="1">
        <v>0</v>
      </c>
      <c r="E14" s="1">
        <v>0</v>
      </c>
      <c r="F14" s="1" t="s">
        <v>230</v>
      </c>
      <c r="G14" s="1" t="s">
        <v>274</v>
      </c>
    </row>
    <row r="15" spans="1:7" ht="30">
      <c r="A15" s="1" t="s">
        <v>275</v>
      </c>
      <c r="B15">
        <v>61000</v>
      </c>
      <c r="C15" s="1" t="s">
        <v>276</v>
      </c>
      <c r="D15" s="1">
        <v>0</v>
      </c>
      <c r="E15" s="1">
        <v>0</v>
      </c>
      <c r="F15" s="1" t="s">
        <v>230</v>
      </c>
      <c r="G15" s="1" t="s">
        <v>277</v>
      </c>
    </row>
    <row r="16" spans="1:7" ht="30">
      <c r="A16" s="1" t="s">
        <v>278</v>
      </c>
      <c r="B16">
        <v>71000</v>
      </c>
      <c r="C16" s="1" t="s">
        <v>276</v>
      </c>
      <c r="D16" s="1">
        <v>0</v>
      </c>
      <c r="E16" s="1">
        <v>0</v>
      </c>
      <c r="F16" s="1" t="s">
        <v>230</v>
      </c>
      <c r="G16" s="1" t="s">
        <v>279</v>
      </c>
    </row>
    <row r="17" spans="1:7" ht="30">
      <c r="A17" s="1" t="s">
        <v>280</v>
      </c>
      <c r="B17">
        <v>1850</v>
      </c>
      <c r="C17" s="1" t="s">
        <v>281</v>
      </c>
      <c r="D17" s="1">
        <v>0</v>
      </c>
      <c r="E17" s="1">
        <v>0</v>
      </c>
      <c r="F17" s="1" t="s">
        <v>230</v>
      </c>
      <c r="G17" s="1" t="s">
        <v>282</v>
      </c>
    </row>
    <row r="18" spans="1:7" ht="30">
      <c r="A18" s="1" t="s">
        <v>283</v>
      </c>
      <c r="B18" t="s">
        <v>284</v>
      </c>
      <c r="C18" s="1" t="s">
        <v>285</v>
      </c>
      <c r="D18" s="1">
        <v>0</v>
      </c>
      <c r="E18" s="1">
        <v>0</v>
      </c>
      <c r="F18" s="1" t="s">
        <v>230</v>
      </c>
      <c r="G18" s="1" t="s">
        <v>282</v>
      </c>
    </row>
    <row r="19" spans="1:7" ht="45">
      <c r="A19" s="1" t="s">
        <v>286</v>
      </c>
      <c r="B19">
        <v>5.5</v>
      </c>
      <c r="C19" s="1" t="s">
        <v>287</v>
      </c>
      <c r="D19" s="1">
        <v>0</v>
      </c>
      <c r="E19" s="1">
        <v>0</v>
      </c>
      <c r="F19" s="1" t="s">
        <v>230</v>
      </c>
      <c r="G19" s="1" t="s">
        <v>288</v>
      </c>
    </row>
    <row r="20" spans="1:7" ht="45">
      <c r="A20" s="1" t="s">
        <v>289</v>
      </c>
      <c r="B20">
        <v>4.9000000000000004</v>
      </c>
      <c r="C20" s="1" t="s">
        <v>290</v>
      </c>
      <c r="D20" s="1">
        <v>0</v>
      </c>
      <c r="E20" s="1">
        <v>0</v>
      </c>
      <c r="F20" s="1" t="s">
        <v>230</v>
      </c>
      <c r="G20" s="1" t="s">
        <v>291</v>
      </c>
    </row>
    <row r="22" spans="1:7">
      <c r="A2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A952-C418-40CE-A90F-9FCE6FE0F1E5}">
  <dimension ref="A1:E16"/>
  <sheetViews>
    <sheetView zoomScale="75" zoomScaleNormal="80" zoomScaleSheetLayoutView="100" workbookViewId="0">
      <selection activeCell="E17" sqref="E17"/>
    </sheetView>
  </sheetViews>
  <sheetFormatPr defaultRowHeight="15"/>
  <cols>
    <col min="1" max="1" width="29.85546875" customWidth="1"/>
    <col min="2" max="2" width="17.28515625" customWidth="1"/>
    <col min="4" max="4" width="11" customWidth="1"/>
    <col min="5" max="5" width="25.5703125" customWidth="1"/>
  </cols>
  <sheetData>
    <row r="1" spans="1:5" ht="30">
      <c r="A1" s="2" t="s">
        <v>77</v>
      </c>
      <c r="B1" s="2" t="s">
        <v>78</v>
      </c>
      <c r="C1" s="2" t="s">
        <v>18</v>
      </c>
      <c r="D1" s="2" t="s">
        <v>79</v>
      </c>
      <c r="E1" s="2" t="s">
        <v>1</v>
      </c>
    </row>
    <row r="2" spans="1:5">
      <c r="A2" s="1" t="s">
        <v>194</v>
      </c>
      <c r="B2" s="1">
        <f>Weight_Model!B6</f>
        <v>1850</v>
      </c>
      <c r="C2" s="1" t="s">
        <v>32</v>
      </c>
      <c r="D2" s="1" t="s">
        <v>195</v>
      </c>
      <c r="E2" s="1" t="s">
        <v>196</v>
      </c>
    </row>
    <row r="3" spans="1:5">
      <c r="A3" s="1" t="s">
        <v>197</v>
      </c>
      <c r="B3" s="6">
        <v>240</v>
      </c>
      <c r="C3" s="1" t="s">
        <v>39</v>
      </c>
      <c r="D3" s="1" t="s">
        <v>80</v>
      </c>
      <c r="E3" s="1" t="s">
        <v>198</v>
      </c>
    </row>
    <row r="4" spans="1:5" ht="30">
      <c r="A4" s="1" t="s">
        <v>199</v>
      </c>
      <c r="B4" s="6">
        <v>0.9</v>
      </c>
      <c r="C4" s="1"/>
      <c r="D4" s="1" t="s">
        <v>80</v>
      </c>
      <c r="E4" s="1" t="s">
        <v>200</v>
      </c>
    </row>
    <row r="5" spans="1:5">
      <c r="A5" s="1" t="s">
        <v>201</v>
      </c>
      <c r="B5" s="1">
        <f>0.5*B2*(27.78^2)/1000</f>
        <v>713.84877000000006</v>
      </c>
      <c r="C5" s="1" t="s">
        <v>82</v>
      </c>
      <c r="D5" s="1" t="s">
        <v>81</v>
      </c>
      <c r="E5" s="1" t="s">
        <v>202</v>
      </c>
    </row>
    <row r="6" spans="1:5" ht="30">
      <c r="A6" s="1" t="s">
        <v>203</v>
      </c>
      <c r="B6" s="1">
        <f>(0.5*B2*(27.78^2))/(B3*1000*B4)</f>
        <v>3.3048554166666668</v>
      </c>
      <c r="C6" s="1" t="s">
        <v>34</v>
      </c>
      <c r="D6" s="1" t="s">
        <v>81</v>
      </c>
      <c r="E6" s="1" t="s">
        <v>204</v>
      </c>
    </row>
    <row r="7" spans="1:5" ht="30">
      <c r="A7" s="1" t="s">
        <v>205</v>
      </c>
      <c r="B7" s="1">
        <f>B6+1.15</f>
        <v>4.4548554166666667</v>
      </c>
      <c r="C7" s="1" t="s">
        <v>34</v>
      </c>
      <c r="D7" s="1" t="s">
        <v>81</v>
      </c>
      <c r="E7" s="1" t="s">
        <v>206</v>
      </c>
    </row>
    <row r="8" spans="1:5">
      <c r="A8" s="1" t="s">
        <v>215</v>
      </c>
      <c r="B8" s="6">
        <v>5.5</v>
      </c>
      <c r="C8" s="1" t="s">
        <v>34</v>
      </c>
      <c r="D8" s="1" t="s">
        <v>80</v>
      </c>
      <c r="E8" s="1" t="s">
        <v>216</v>
      </c>
    </row>
    <row r="9" spans="1:5">
      <c r="A9" s="1"/>
      <c r="B9" s="6"/>
      <c r="C9" s="1"/>
      <c r="D9" s="1"/>
      <c r="E9" s="1"/>
    </row>
    <row r="10" spans="1:5" ht="30" customHeight="1">
      <c r="A10" s="1" t="s">
        <v>207</v>
      </c>
      <c r="B10" s="6">
        <f>Weight_Model!B7</f>
        <v>1916.5</v>
      </c>
      <c r="C10" s="1" t="s">
        <v>32</v>
      </c>
      <c r="D10" s="1" t="s">
        <v>195</v>
      </c>
      <c r="E10" s="1" t="s">
        <v>196</v>
      </c>
    </row>
    <row r="11" spans="1:5" ht="30">
      <c r="A11" s="1" t="s">
        <v>208</v>
      </c>
      <c r="B11">
        <v>250</v>
      </c>
      <c r="C11" s="1" t="s">
        <v>39</v>
      </c>
      <c r="D11" s="1" t="s">
        <v>80</v>
      </c>
      <c r="E11" s="1" t="s">
        <v>209</v>
      </c>
    </row>
    <row r="12" spans="1:5" ht="30">
      <c r="A12" s="1" t="s">
        <v>210</v>
      </c>
      <c r="B12">
        <v>0.9</v>
      </c>
      <c r="D12" s="1" t="s">
        <v>80</v>
      </c>
      <c r="E12" s="1" t="s">
        <v>200</v>
      </c>
    </row>
    <row r="13" spans="1:5">
      <c r="A13" s="1" t="s">
        <v>211</v>
      </c>
      <c r="B13">
        <f>0.5*B10*(27.78^2)/1000</f>
        <v>739.50873930000012</v>
      </c>
      <c r="C13" s="1" t="s">
        <v>82</v>
      </c>
      <c r="D13" s="1" t="s">
        <v>81</v>
      </c>
      <c r="E13" s="1" t="s">
        <v>202</v>
      </c>
    </row>
    <row r="14" spans="1:5" ht="30">
      <c r="A14" s="1" t="s">
        <v>212</v>
      </c>
      <c r="B14">
        <f>(0.5*B10*(27.78^2))/(B11*1000*B12)</f>
        <v>3.2867055080000007</v>
      </c>
      <c r="C14" s="1" t="s">
        <v>34</v>
      </c>
      <c r="D14" s="1" t="s">
        <v>81</v>
      </c>
      <c r="E14" s="1" t="s">
        <v>204</v>
      </c>
    </row>
    <row r="15" spans="1:5" ht="30">
      <c r="A15" s="1" t="s">
        <v>213</v>
      </c>
      <c r="B15">
        <f>B14+0.95</f>
        <v>4.2367055080000009</v>
      </c>
      <c r="C15" s="1" t="s">
        <v>34</v>
      </c>
      <c r="D15" s="1" t="s">
        <v>81</v>
      </c>
      <c r="E15" s="1" t="s">
        <v>214</v>
      </c>
    </row>
    <row r="16" spans="1:5" ht="30">
      <c r="A16" s="1" t="s">
        <v>217</v>
      </c>
      <c r="B16">
        <v>4.9000000000000004</v>
      </c>
      <c r="C16" s="1" t="s">
        <v>34</v>
      </c>
      <c r="D16" s="1" t="s">
        <v>80</v>
      </c>
      <c r="E16" s="1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F046-653F-4A93-B0CC-D2ACECAC21AB}">
  <dimension ref="A1:E6"/>
  <sheetViews>
    <sheetView tabSelected="1" zoomScaleNormal="80" zoomScaleSheetLayoutView="100" workbookViewId="0">
      <selection activeCell="L8" sqref="L8"/>
    </sheetView>
  </sheetViews>
  <sheetFormatPr defaultRowHeight="15"/>
  <cols>
    <col min="1" max="1" width="15.42578125" customWidth="1"/>
    <col min="4" max="4" width="13.5703125" customWidth="1"/>
    <col min="5" max="5" width="13.7109375" customWidth="1"/>
  </cols>
  <sheetData>
    <row r="1" spans="1:5" ht="30">
      <c r="A1" s="2" t="s">
        <v>301</v>
      </c>
      <c r="B1" s="2" t="s">
        <v>302</v>
      </c>
      <c r="C1" s="2" t="s">
        <v>303</v>
      </c>
      <c r="D1" s="2" t="s">
        <v>304</v>
      </c>
      <c r="E1" s="2" t="s">
        <v>305</v>
      </c>
    </row>
    <row r="2" spans="1:5">
      <c r="A2" s="1" t="s">
        <v>306</v>
      </c>
      <c r="B2" s="1">
        <v>4000</v>
      </c>
      <c r="C2" s="20">
        <v>0.75</v>
      </c>
      <c r="D2" s="21">
        <v>0.25</v>
      </c>
      <c r="E2" s="1" t="s">
        <v>309</v>
      </c>
    </row>
    <row r="3" spans="1:5">
      <c r="A3" s="1" t="s">
        <v>307</v>
      </c>
      <c r="B3" s="1">
        <v>5500</v>
      </c>
      <c r="C3" s="20">
        <v>0.7</v>
      </c>
      <c r="D3" s="21">
        <v>0.3</v>
      </c>
      <c r="E3" s="1" t="s">
        <v>310</v>
      </c>
    </row>
    <row r="4" spans="1:5">
      <c r="A4" s="1" t="s">
        <v>308</v>
      </c>
      <c r="B4" s="1">
        <v>7000</v>
      </c>
      <c r="C4" s="20">
        <v>0.65</v>
      </c>
      <c r="D4" s="21">
        <v>0.35</v>
      </c>
      <c r="E4" s="1" t="s">
        <v>311</v>
      </c>
    </row>
    <row r="5" spans="1:5">
      <c r="A5" s="1"/>
      <c r="B5" s="1"/>
      <c r="C5" s="1"/>
      <c r="D5" s="6"/>
      <c r="E5" s="1"/>
    </row>
    <row r="6" spans="1:5">
      <c r="A6" s="7"/>
      <c r="B6" s="1"/>
      <c r="C6" s="1"/>
      <c r="D6" s="6"/>
      <c r="E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9771-93AE-451C-ACF5-B25E16751CBA}">
  <dimension ref="A1:E6"/>
  <sheetViews>
    <sheetView zoomScaleNormal="80" zoomScaleSheetLayoutView="100" workbookViewId="0"/>
  </sheetViews>
  <sheetFormatPr defaultRowHeight="15"/>
  <cols>
    <col min="2" max="2" width="14.5703125" customWidth="1"/>
    <col min="3" max="3" width="17.85546875" customWidth="1"/>
    <col min="5" max="5" width="20.7109375" customWidth="1"/>
  </cols>
  <sheetData>
    <row r="1" spans="1:5" ht="27" customHeight="1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</row>
    <row r="2" spans="1:5" ht="63" customHeight="1">
      <c r="A2" s="1" t="s">
        <v>89</v>
      </c>
      <c r="B2" s="1" t="s">
        <v>90</v>
      </c>
      <c r="C2" s="1" t="s">
        <v>91</v>
      </c>
      <c r="D2" s="1" t="s">
        <v>92</v>
      </c>
      <c r="E2" s="1" t="s">
        <v>93</v>
      </c>
    </row>
    <row r="3" spans="1:5" ht="30">
      <c r="A3" s="1" t="s">
        <v>94</v>
      </c>
      <c r="B3" s="1" t="s">
        <v>95</v>
      </c>
      <c r="C3" s="1" t="s">
        <v>96</v>
      </c>
      <c r="D3" s="1" t="s">
        <v>97</v>
      </c>
      <c r="E3" s="1" t="s">
        <v>98</v>
      </c>
    </row>
    <row r="4" spans="1:5" ht="30">
      <c r="A4" s="1" t="s">
        <v>99</v>
      </c>
      <c r="B4" s="1" t="s">
        <v>100</v>
      </c>
      <c r="C4" s="1" t="s">
        <v>101</v>
      </c>
      <c r="D4" s="1" t="s">
        <v>97</v>
      </c>
      <c r="E4" s="1" t="s">
        <v>102</v>
      </c>
    </row>
    <row r="5" spans="1:5">
      <c r="A5" s="1" t="s">
        <v>103</v>
      </c>
      <c r="B5" s="1" t="s">
        <v>104</v>
      </c>
      <c r="C5" s="1" t="s">
        <v>105</v>
      </c>
      <c r="D5" s="1" t="s">
        <v>97</v>
      </c>
      <c r="E5" s="1" t="s">
        <v>106</v>
      </c>
    </row>
    <row r="6" spans="1:5" ht="30">
      <c r="A6" s="1" t="s">
        <v>107</v>
      </c>
      <c r="B6" s="1" t="s">
        <v>108</v>
      </c>
      <c r="C6" s="1" t="s">
        <v>109</v>
      </c>
      <c r="D6" s="1" t="s">
        <v>110</v>
      </c>
      <c r="E6" s="1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2659-14D7-8141-AAB6-08B1D54063FA}">
  <dimension ref="A1:M31"/>
  <sheetViews>
    <sheetView zoomScaleNormal="80" zoomScaleSheetLayoutView="100" workbookViewId="0">
      <selection activeCell="N11" sqref="N11"/>
    </sheetView>
  </sheetViews>
  <sheetFormatPr defaultRowHeight="15"/>
  <cols>
    <col min="1" max="1" width="8.140625" customWidth="1"/>
    <col min="2" max="2" width="8.85546875" style="9" customWidth="1"/>
    <col min="3" max="3" width="14.7109375" customWidth="1"/>
    <col min="4" max="4" width="18.140625" customWidth="1"/>
    <col min="5" max="5" width="9.42578125" bestFit="1" customWidth="1"/>
    <col min="6" max="6" width="10.28515625" customWidth="1"/>
  </cols>
  <sheetData>
    <row r="1" spans="1:13">
      <c r="A1" s="12" t="s">
        <v>178</v>
      </c>
      <c r="B1" s="12" t="s">
        <v>182</v>
      </c>
      <c r="C1" s="13" t="s">
        <v>183</v>
      </c>
      <c r="D1" s="19" t="s">
        <v>298</v>
      </c>
      <c r="E1" s="19" t="s">
        <v>179</v>
      </c>
      <c r="F1" s="14"/>
      <c r="I1" s="19" t="s">
        <v>299</v>
      </c>
      <c r="J1" s="14"/>
      <c r="L1" s="19" t="s">
        <v>300</v>
      </c>
      <c r="M1" s="14"/>
    </row>
    <row r="2" spans="1:13">
      <c r="A2" t="s">
        <v>180</v>
      </c>
      <c r="B2" s="8">
        <v>52000</v>
      </c>
      <c r="C2" s="8">
        <v>37500</v>
      </c>
      <c r="D2">
        <f>B2-C2</f>
        <v>14500</v>
      </c>
      <c r="E2">
        <f>(B2-C2)/B2</f>
        <v>0.27884615384615385</v>
      </c>
      <c r="I2">
        <f>C2 * 1.07</f>
        <v>40125</v>
      </c>
      <c r="L2">
        <f>(B2 - I2 ) / B2</f>
        <v>0.22836538461538461</v>
      </c>
    </row>
    <row r="3" spans="1:13">
      <c r="A3" t="s">
        <v>180</v>
      </c>
      <c r="B3" s="8">
        <v>53000</v>
      </c>
      <c r="C3">
        <v>37500</v>
      </c>
      <c r="D3">
        <f>B3-C3</f>
        <v>15500</v>
      </c>
      <c r="E3">
        <f>(B3-C3)/B3</f>
        <v>0.29245283018867924</v>
      </c>
      <c r="I3">
        <f t="shared" ref="I3:I12" si="0">C3 * 1.07</f>
        <v>40125</v>
      </c>
      <c r="L3">
        <f t="shared" ref="L3:L11" si="1">(B3 - I3 ) / B3</f>
        <v>0.24292452830188679</v>
      </c>
    </row>
    <row r="4" spans="1:13">
      <c r="A4" t="s">
        <v>180</v>
      </c>
      <c r="B4" s="8">
        <v>53700</v>
      </c>
      <c r="C4" s="8">
        <v>37500</v>
      </c>
      <c r="D4">
        <f>B4-C4</f>
        <v>16200</v>
      </c>
      <c r="E4">
        <f>(B4-C4)/B4</f>
        <v>0.3016759776536313</v>
      </c>
      <c r="I4">
        <f t="shared" si="0"/>
        <v>40125</v>
      </c>
      <c r="L4">
        <f t="shared" si="1"/>
        <v>0.2527932960893855</v>
      </c>
    </row>
    <row r="5" spans="1:13">
      <c r="A5" t="s">
        <v>180</v>
      </c>
      <c r="B5" s="8">
        <v>54700</v>
      </c>
      <c r="C5">
        <v>44300</v>
      </c>
      <c r="D5">
        <f t="shared" ref="D5:D6" si="2">B5-C5</f>
        <v>10400</v>
      </c>
      <c r="E5">
        <f t="shared" ref="E5:E6" si="3">(B5-C5)/B5</f>
        <v>0.19012797074954296</v>
      </c>
      <c r="I5">
        <f t="shared" si="0"/>
        <v>47401</v>
      </c>
      <c r="L5">
        <f t="shared" si="1"/>
        <v>0.13343692870201096</v>
      </c>
    </row>
    <row r="6" spans="1:13">
      <c r="A6" t="s">
        <v>180</v>
      </c>
      <c r="B6" s="8">
        <v>55000</v>
      </c>
      <c r="C6">
        <v>44300</v>
      </c>
      <c r="D6">
        <f t="shared" si="2"/>
        <v>10700</v>
      </c>
      <c r="E6">
        <f t="shared" si="3"/>
        <v>0.19454545454545455</v>
      </c>
      <c r="I6">
        <f t="shared" si="0"/>
        <v>47401</v>
      </c>
      <c r="L6">
        <f t="shared" si="1"/>
        <v>0.13816363636363638</v>
      </c>
    </row>
    <row r="7" spans="1:13">
      <c r="A7" t="s">
        <v>181</v>
      </c>
      <c r="B7" s="8">
        <v>64000</v>
      </c>
      <c r="C7" s="15">
        <v>44290</v>
      </c>
      <c r="D7">
        <f t="shared" ref="D7:D11" si="4">B7-C7</f>
        <v>19710</v>
      </c>
      <c r="E7">
        <f t="shared" ref="E7:E11" si="5">(B7-C7)/B7</f>
        <v>0.30796875000000001</v>
      </c>
      <c r="I7">
        <f t="shared" si="0"/>
        <v>47390.3</v>
      </c>
      <c r="L7">
        <f t="shared" si="1"/>
        <v>0.25952656249999995</v>
      </c>
    </row>
    <row r="8" spans="1:13">
      <c r="A8" t="s">
        <v>181</v>
      </c>
      <c r="B8" s="8">
        <v>65000</v>
      </c>
      <c r="C8">
        <v>44290</v>
      </c>
      <c r="D8">
        <f t="shared" si="4"/>
        <v>20710</v>
      </c>
      <c r="E8">
        <f t="shared" si="5"/>
        <v>0.31861538461538463</v>
      </c>
      <c r="I8">
        <f t="shared" si="0"/>
        <v>47390.3</v>
      </c>
      <c r="L8">
        <f t="shared" si="1"/>
        <v>0.2709184615384615</v>
      </c>
    </row>
    <row r="9" spans="1:13">
      <c r="A9" t="s">
        <v>181</v>
      </c>
      <c r="B9" s="8">
        <v>66000</v>
      </c>
      <c r="C9">
        <v>44290</v>
      </c>
      <c r="D9">
        <f t="shared" si="4"/>
        <v>21710</v>
      </c>
      <c r="E9">
        <f t="shared" si="5"/>
        <v>0.32893939393939392</v>
      </c>
      <c r="I9">
        <f t="shared" si="0"/>
        <v>47390.3</v>
      </c>
      <c r="L9">
        <f t="shared" si="1"/>
        <v>0.28196515151515145</v>
      </c>
    </row>
    <row r="10" spans="1:13">
      <c r="A10" t="s">
        <v>181</v>
      </c>
      <c r="B10" s="8">
        <v>67500</v>
      </c>
      <c r="C10">
        <v>44290</v>
      </c>
      <c r="D10">
        <f t="shared" si="4"/>
        <v>23210</v>
      </c>
      <c r="E10">
        <f t="shared" si="5"/>
        <v>0.34385185185185185</v>
      </c>
      <c r="I10">
        <f t="shared" si="0"/>
        <v>47390.3</v>
      </c>
      <c r="L10">
        <f t="shared" si="1"/>
        <v>0.29792148148148145</v>
      </c>
    </row>
    <row r="11" spans="1:13">
      <c r="A11" t="s">
        <v>181</v>
      </c>
      <c r="B11" s="8">
        <v>68500</v>
      </c>
      <c r="C11" s="15">
        <v>44290</v>
      </c>
      <c r="D11">
        <f t="shared" si="4"/>
        <v>24210</v>
      </c>
      <c r="E11">
        <f t="shared" si="5"/>
        <v>0.35343065693430659</v>
      </c>
      <c r="I11">
        <f t="shared" si="0"/>
        <v>47390.3</v>
      </c>
      <c r="L11">
        <f t="shared" si="1"/>
        <v>0.308170802919708</v>
      </c>
    </row>
    <row r="12" spans="1:13">
      <c r="A12" t="s">
        <v>181</v>
      </c>
      <c r="B12" s="8">
        <v>67500</v>
      </c>
      <c r="C12">
        <v>44290</v>
      </c>
      <c r="D12">
        <f>B12-C12</f>
        <v>23210</v>
      </c>
      <c r="E12">
        <f>(B12-C12)/B12</f>
        <v>0.34385185185185185</v>
      </c>
      <c r="I12">
        <f t="shared" si="0"/>
        <v>47390.3</v>
      </c>
      <c r="L12">
        <f>(B12 - I12 ) / B12</f>
        <v>0.29792148148148145</v>
      </c>
    </row>
    <row r="13" spans="1:13">
      <c r="B13"/>
    </row>
    <row r="15" spans="1:13">
      <c r="B15" s="8"/>
      <c r="C15" s="15"/>
    </row>
    <row r="16" spans="1:13">
      <c r="B16" s="8"/>
    </row>
    <row r="17" spans="2:3">
      <c r="B17" s="8"/>
      <c r="C17" s="8"/>
    </row>
    <row r="18" spans="2:3">
      <c r="B18" s="8"/>
    </row>
    <row r="19" spans="2:3">
      <c r="B19" s="8"/>
    </row>
    <row r="20" spans="2:3">
      <c r="B20" s="8"/>
    </row>
    <row r="21" spans="2:3">
      <c r="B21" s="8"/>
      <c r="C21" s="15"/>
    </row>
    <row r="22" spans="2:3">
      <c r="B22" s="8"/>
    </row>
    <row r="23" spans="2:3">
      <c r="B23" s="8"/>
    </row>
    <row r="24" spans="2:3">
      <c r="B24" s="8"/>
    </row>
    <row r="25" spans="2:3">
      <c r="B25" s="8"/>
      <c r="C25" s="15"/>
    </row>
    <row r="26" spans="2:3">
      <c r="B26" s="8"/>
    </row>
    <row r="27" spans="2:3">
      <c r="B27" s="8"/>
    </row>
    <row r="30" spans="2:3">
      <c r="B30" s="8"/>
      <c r="C30" s="15"/>
    </row>
    <row r="31" spans="2:3">
      <c r="B31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D22A-28F1-48A6-B060-700389E334B9}">
  <dimension ref="A1:P7"/>
  <sheetViews>
    <sheetView workbookViewId="0">
      <selection activeCell="B6" sqref="B6"/>
    </sheetView>
  </sheetViews>
  <sheetFormatPr defaultRowHeight="15"/>
  <cols>
    <col min="2" max="2" width="21.5703125" customWidth="1"/>
    <col min="3" max="3" width="20.5703125" customWidth="1"/>
    <col min="4" max="4" width="29.7109375" customWidth="1"/>
    <col min="5" max="5" width="28.140625" customWidth="1"/>
    <col min="6" max="6" width="27" customWidth="1"/>
    <col min="8" max="8" width="15.140625" customWidth="1"/>
    <col min="11" max="11" width="10.42578125" customWidth="1"/>
    <col min="15" max="15" width="12.42578125" customWidth="1"/>
    <col min="16" max="16" width="12.140625" customWidth="1"/>
  </cols>
  <sheetData>
    <row r="1" spans="1:16">
      <c r="A1" s="17" t="s">
        <v>178</v>
      </c>
      <c r="B1" s="16" t="s">
        <v>184</v>
      </c>
      <c r="C1" s="14" t="s">
        <v>185</v>
      </c>
      <c r="D1" s="14" t="s">
        <v>186</v>
      </c>
      <c r="E1" s="14" t="s">
        <v>187</v>
      </c>
      <c r="F1" s="14" t="s">
        <v>188</v>
      </c>
      <c r="H1" s="4"/>
      <c r="I1" s="4"/>
      <c r="J1" s="4"/>
      <c r="K1" s="18"/>
      <c r="L1" s="4"/>
      <c r="M1" s="4"/>
      <c r="N1" s="18"/>
      <c r="O1" s="18"/>
      <c r="P1" s="18"/>
    </row>
    <row r="2" spans="1:16">
      <c r="A2" t="s">
        <v>180</v>
      </c>
      <c r="B2">
        <v>1490</v>
      </c>
      <c r="C2">
        <v>35</v>
      </c>
      <c r="D2">
        <v>95</v>
      </c>
      <c r="E2">
        <v>110</v>
      </c>
      <c r="F2">
        <v>120</v>
      </c>
      <c r="I2" s="4"/>
      <c r="J2" s="4"/>
      <c r="K2" s="4"/>
      <c r="L2" s="4"/>
      <c r="M2" s="4"/>
      <c r="N2" s="4"/>
      <c r="O2" s="4"/>
      <c r="P2" s="4"/>
    </row>
    <row r="3" spans="1:16">
      <c r="A3" t="s">
        <v>181</v>
      </c>
      <c r="B3">
        <v>1541.5</v>
      </c>
      <c r="C3">
        <v>35</v>
      </c>
      <c r="D3">
        <v>100</v>
      </c>
      <c r="E3">
        <v>115</v>
      </c>
      <c r="F3">
        <v>125</v>
      </c>
      <c r="I3" s="4"/>
      <c r="J3" s="4"/>
      <c r="K3" s="4"/>
      <c r="L3" s="4"/>
      <c r="M3" s="4"/>
      <c r="N3" s="4"/>
      <c r="O3" s="4"/>
      <c r="P3" s="4"/>
    </row>
    <row r="4" spans="1:16">
      <c r="I4" s="4"/>
      <c r="J4" s="4"/>
      <c r="K4" s="4"/>
      <c r="L4" s="4"/>
      <c r="M4" s="4"/>
      <c r="N4" s="4"/>
      <c r="O4" s="4"/>
      <c r="P4" s="4"/>
    </row>
    <row r="5" spans="1:16">
      <c r="A5" s="14" t="s">
        <v>189</v>
      </c>
      <c r="B5" s="16"/>
      <c r="I5" s="4"/>
      <c r="J5" s="4"/>
      <c r="K5" s="4"/>
      <c r="L5" s="4"/>
      <c r="M5" s="4"/>
      <c r="N5" s="4"/>
      <c r="O5" s="4"/>
      <c r="P5" s="4"/>
    </row>
    <row r="6" spans="1:16">
      <c r="B6">
        <f>SUM(B2:F2)</f>
        <v>1850</v>
      </c>
      <c r="I6" s="4"/>
      <c r="J6" s="4"/>
      <c r="K6" s="4"/>
      <c r="L6" s="4"/>
      <c r="M6" s="4"/>
      <c r="N6" s="4"/>
      <c r="O6" s="4"/>
      <c r="P6" s="4"/>
    </row>
    <row r="7" spans="1:16">
      <c r="B7">
        <f>SUM(B3:F3)</f>
        <v>1916.5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Panthera Core</vt:lpstr>
      <vt:lpstr> BOM</vt:lpstr>
      <vt:lpstr>Upgrade BOM</vt:lpstr>
      <vt:lpstr>Constraints</vt:lpstr>
      <vt:lpstr>Performance_Model</vt:lpstr>
      <vt:lpstr>Program_Finance</vt:lpstr>
      <vt:lpstr>TestPlan</vt:lpstr>
      <vt:lpstr>Price_Margin</vt:lpstr>
      <vt:lpstr>Weight_Model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Yiğit Fidan</dc:creator>
  <cp:lastModifiedBy>İbrahim Yiğit Fidan</cp:lastModifiedBy>
  <dcterms:created xsi:type="dcterms:W3CDTF">2026-02-22T13:56:11Z</dcterms:created>
  <dcterms:modified xsi:type="dcterms:W3CDTF">2026-05-06T14:27:43Z</dcterms:modified>
</cp:coreProperties>
</file>